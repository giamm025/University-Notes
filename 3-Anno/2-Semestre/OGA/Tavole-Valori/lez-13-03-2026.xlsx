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ad629029ad1a4a/1. Università/3. Anno/2. Semestre/OGA/"/>
    </mc:Choice>
  </mc:AlternateContent>
  <xr:revisionPtr revIDLastSave="12" documentId="8_{C86D8E60-2695-45F8-9AC4-4F753627EA07}" xr6:coauthVersionLast="47" xr6:coauthVersionMax="47" xr10:uidLastSave="{18BB2AB3-4463-426A-A709-5894C84028A3}"/>
  <bookViews>
    <workbookView xWindow="28680" yWindow="-120" windowWidth="29040" windowHeight="15720" xr2:uid="{DC39C884-4E06-491C-AD56-B33537850D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5" i="1" l="1"/>
  <c r="D59" i="1"/>
  <c r="B107" i="1"/>
  <c r="B148" i="1"/>
  <c r="B75" i="1"/>
  <c r="D20" i="1"/>
  <c r="B59" i="1"/>
  <c r="D127" i="1"/>
  <c r="D75" i="1"/>
  <c r="B32" i="1"/>
  <c r="B20" i="1"/>
  <c r="D107" i="1"/>
  <c r="D88" i="1"/>
  <c r="B8" i="1"/>
  <c r="B88" i="1"/>
  <c r="D32" i="1"/>
  <c r="D148" i="1"/>
  <c r="B127" i="1"/>
  <c r="D8" i="1"/>
  <c r="D45" i="1"/>
</calcChain>
</file>

<file path=xl/sharedStrings.xml><?xml version="1.0" encoding="utf-8"?>
<sst xmlns="http://schemas.openxmlformats.org/spreadsheetml/2006/main" count="168" uniqueCount="39">
  <si>
    <t>FONTI</t>
  </si>
  <si>
    <t>IMPIEGHI</t>
  </si>
  <si>
    <t>- C/C Bancario</t>
  </si>
  <si>
    <t>LIQUIDITA</t>
  </si>
  <si>
    <t>CAPITALE DI RISCHIO</t>
  </si>
  <si>
    <t>- Capitale Sociale</t>
  </si>
  <si>
    <t>Tot. Fonti</t>
  </si>
  <si>
    <t>Tot. Impieghi</t>
  </si>
  <si>
    <t>1) Istituzione di una SPA con capitale iniziale di 50.000 euro interamente versati</t>
  </si>
  <si>
    <t>2) Ottenuto finanziamento bancario di 150.000 euro</t>
  </si>
  <si>
    <t>CAPITALE DI CREDITO</t>
  </si>
  <si>
    <t>- Finanziamenti Bancari</t>
  </si>
  <si>
    <t>3) Emissione di un prestito obbligazionario i 80.000 euro</t>
  </si>
  <si>
    <t>- Obbligazioni</t>
  </si>
  <si>
    <t>4) Alcuni azionisti finanziano l'azienda a titolo di capitale di credito per 60.000 euro</t>
  </si>
  <si>
    <t>- Azionisti</t>
  </si>
  <si>
    <t>INIZO FASE DI IMPIEGO</t>
  </si>
  <si>
    <t>SPESE DI INVESTIMENTO</t>
  </si>
  <si>
    <t>- Immobilizzazioni Materiali</t>
  </si>
  <si>
    <t>--- Capannoni Industriali</t>
  </si>
  <si>
    <t xml:space="preserve">--- Impianti </t>
  </si>
  <si>
    <t>DEBITI DI DILAZIONE</t>
  </si>
  <si>
    <t>- Debiti v/Fornitori</t>
  </si>
  <si>
    <t>6) Acquiso di un impianto al costo di 95.000 euro pagati 50.000 in contanti e 45.000 a dilazione</t>
  </si>
  <si>
    <t>7) L'azienda paga e salda il Debito verso il Fornitore di Impianti</t>
  </si>
  <si>
    <t>8) Acquisto di materie prime per 30.000 euro in contanti (a cui dobbiamo aggiungere l'IVA)</t>
  </si>
  <si>
    <t>SPESE CORRENTI</t>
  </si>
  <si>
    <t>-  Materie Prime</t>
  </si>
  <si>
    <t>CREDITI</t>
  </si>
  <si>
    <t>- IVA a Credito (22%)</t>
  </si>
  <si>
    <t>9) Pagamento di Stipendi per 20.000 euro</t>
  </si>
  <si>
    <t>10) Restituzione prima rata del mutuo, per un totale di 5.000 euro, di cui 4.500 capitale e 500 di interessi</t>
  </si>
  <si>
    <t>- Interessi Passivi</t>
  </si>
  <si>
    <t>FINANZIAMENTO</t>
  </si>
  <si>
    <t>NOTA: Debiti v/Fornitori sparisce dalle Fonti</t>
  </si>
  <si>
    <t>NOTA: Dalla liquidità togliamo l'intero importo 5.000 (compreso di interessi) ma l'impiego viene ripartito in due voci diverse Interessi Passivi a Finanziamenti Bancari</t>
  </si>
  <si>
    <t>NOTA: Dalla liquidità togliamo l'intero importo 36.600 (compreso di IVA) ma l'impiego viene ripartito in due voci diverse IVA a Credito e Materie Prime</t>
  </si>
  <si>
    <t>5) Acquiso di un capanonne al costo di 125.000 euro in contanti</t>
  </si>
  <si>
    <t>- Salari e Stipendi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</si>
</sst>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rgb="FFF5BA9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5BA95"/>
      <color rgb="FFFFFF8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3A0C-9AAF-4C11-959E-024F75F4C6E0}">
  <dimension ref="A1:G148"/>
  <sheetViews>
    <sheetView tabSelected="1" zoomScale="160" zoomScaleNormal="160" workbookViewId="0">
      <selection activeCell="G136" sqref="G136"/>
    </sheetView>
  </sheetViews>
  <sheetFormatPr defaultRowHeight="15.6" x14ac:dyDescent="0.3"/>
  <cols>
    <col min="1" max="1" width="27.77734375" style="14" customWidth="1"/>
    <col min="2" max="2" width="9.88671875" style="6" bestFit="1" customWidth="1"/>
    <col min="3" max="3" width="27.77734375" style="14" customWidth="1"/>
    <col min="4" max="4" width="9.88671875" style="6" customWidth="1"/>
    <col min="5" max="16384" width="8.88671875" style="15"/>
  </cols>
  <sheetData>
    <row r="1" spans="1:4" ht="23.4" x14ac:dyDescent="0.3">
      <c r="A1" s="20" t="s">
        <v>33</v>
      </c>
      <c r="B1" s="19"/>
      <c r="C1" s="19"/>
      <c r="D1" s="19"/>
    </row>
    <row r="2" spans="1:4" ht="16.2" thickBot="1" x14ac:dyDescent="0.35">
      <c r="A2" s="14" t="s">
        <v>8</v>
      </c>
    </row>
    <row r="3" spans="1:4" ht="15" thickBot="1" x14ac:dyDescent="0.35">
      <c r="A3" s="1" t="s">
        <v>1</v>
      </c>
      <c r="B3" s="1"/>
      <c r="C3" s="1" t="s">
        <v>0</v>
      </c>
      <c r="D3" s="1"/>
    </row>
    <row r="4" spans="1:4" ht="15" thickBot="1" x14ac:dyDescent="0.35">
      <c r="A4" s="1"/>
      <c r="B4" s="1"/>
      <c r="C4" s="1"/>
      <c r="D4" s="1"/>
    </row>
    <row r="5" spans="1:4" ht="16.2" thickBot="1" x14ac:dyDescent="0.35">
      <c r="A5" s="16" t="s">
        <v>3</v>
      </c>
      <c r="B5" s="4"/>
      <c r="C5" s="16" t="s">
        <v>4</v>
      </c>
      <c r="D5" s="4"/>
    </row>
    <row r="6" spans="1:4" ht="16.2" thickBot="1" x14ac:dyDescent="0.35">
      <c r="A6" s="18" t="s">
        <v>2</v>
      </c>
      <c r="B6" s="5">
        <v>50000</v>
      </c>
      <c r="C6" s="18" t="s">
        <v>5</v>
      </c>
      <c r="D6" s="5">
        <v>50000</v>
      </c>
    </row>
    <row r="7" spans="1:4" ht="16.2" thickBot="1" x14ac:dyDescent="0.35">
      <c r="A7" s="17"/>
      <c r="B7" s="4"/>
      <c r="C7" s="17"/>
      <c r="D7" s="4"/>
    </row>
    <row r="8" spans="1:4" s="2" customFormat="1" ht="16.2" thickBot="1" x14ac:dyDescent="0.35">
      <c r="A8" s="7" t="s">
        <v>6</v>
      </c>
      <c r="B8" s="3">
        <f ca="1">SUM(B5:B8)</f>
        <v>50000</v>
      </c>
      <c r="C8" s="7" t="s">
        <v>7</v>
      </c>
      <c r="D8" s="3">
        <f ca="1">SUM(D5:D8)</f>
        <v>50000</v>
      </c>
    </row>
    <row r="11" spans="1:4" ht="16.2" thickBot="1" x14ac:dyDescent="0.35">
      <c r="A11" s="14" t="s">
        <v>9</v>
      </c>
    </row>
    <row r="12" spans="1:4" ht="15" customHeight="1" x14ac:dyDescent="0.3">
      <c r="A12" s="8" t="s">
        <v>1</v>
      </c>
      <c r="B12" s="9"/>
      <c r="C12" s="8" t="s">
        <v>0</v>
      </c>
      <c r="D12" s="10"/>
    </row>
    <row r="13" spans="1:4" ht="15" customHeight="1" thickBot="1" x14ac:dyDescent="0.35">
      <c r="A13" s="11"/>
      <c r="B13" s="12"/>
      <c r="C13" s="11"/>
      <c r="D13" s="13"/>
    </row>
    <row r="14" spans="1:4" ht="16.2" thickBot="1" x14ac:dyDescent="0.35">
      <c r="A14" s="16" t="s">
        <v>3</v>
      </c>
      <c r="B14" s="4"/>
      <c r="C14" s="16" t="s">
        <v>4</v>
      </c>
      <c r="D14" s="4"/>
    </row>
    <row r="15" spans="1:4" ht="16.2" thickBot="1" x14ac:dyDescent="0.35">
      <c r="A15" s="18" t="s">
        <v>2</v>
      </c>
      <c r="B15" s="5">
        <v>200000</v>
      </c>
      <c r="C15" s="18" t="s">
        <v>5</v>
      </c>
      <c r="D15" s="5">
        <v>50000</v>
      </c>
    </row>
    <row r="16" spans="1:4" ht="16.2" thickBot="1" x14ac:dyDescent="0.35">
      <c r="A16" s="17"/>
      <c r="B16" s="4"/>
      <c r="C16" s="17"/>
      <c r="D16" s="4"/>
    </row>
    <row r="17" spans="1:4" ht="16.2" thickBot="1" x14ac:dyDescent="0.35">
      <c r="A17" s="17"/>
      <c r="B17" s="4"/>
      <c r="C17" s="16" t="s">
        <v>10</v>
      </c>
      <c r="D17" s="4"/>
    </row>
    <row r="18" spans="1:4" ht="16.2" thickBot="1" x14ac:dyDescent="0.35">
      <c r="A18" s="17"/>
      <c r="B18" s="4"/>
      <c r="C18" s="18" t="s">
        <v>11</v>
      </c>
      <c r="D18" s="5">
        <v>150000</v>
      </c>
    </row>
    <row r="19" spans="1:4" ht="16.2" thickBot="1" x14ac:dyDescent="0.35">
      <c r="A19" s="17"/>
      <c r="B19" s="4"/>
      <c r="C19" s="17"/>
      <c r="D19" s="4"/>
    </row>
    <row r="20" spans="1:4" s="2" customFormat="1" ht="16.2" thickBot="1" x14ac:dyDescent="0.35">
      <c r="A20" s="7" t="s">
        <v>6</v>
      </c>
      <c r="B20" s="3">
        <f ca="1">SUM(B14:B20)</f>
        <v>200000</v>
      </c>
      <c r="C20" s="7" t="s">
        <v>7</v>
      </c>
      <c r="D20" s="3">
        <f ca="1">SUM(D14:D20)</f>
        <v>200000</v>
      </c>
    </row>
    <row r="22" spans="1:4" ht="16.2" thickBot="1" x14ac:dyDescent="0.35">
      <c r="A22" s="14" t="s">
        <v>12</v>
      </c>
    </row>
    <row r="23" spans="1:4" ht="15" customHeight="1" x14ac:dyDescent="0.3">
      <c r="A23" s="8" t="s">
        <v>1</v>
      </c>
      <c r="B23" s="9"/>
      <c r="C23" s="8" t="s">
        <v>0</v>
      </c>
      <c r="D23" s="10"/>
    </row>
    <row r="24" spans="1:4" ht="15" customHeight="1" thickBot="1" x14ac:dyDescent="0.35">
      <c r="A24" s="11"/>
      <c r="B24" s="12"/>
      <c r="C24" s="11"/>
      <c r="D24" s="13"/>
    </row>
    <row r="25" spans="1:4" ht="16.2" thickBot="1" x14ac:dyDescent="0.35">
      <c r="A25" s="16" t="s">
        <v>3</v>
      </c>
      <c r="B25" s="4"/>
      <c r="C25" s="16" t="s">
        <v>4</v>
      </c>
      <c r="D25" s="4"/>
    </row>
    <row r="26" spans="1:4" ht="16.2" thickBot="1" x14ac:dyDescent="0.35">
      <c r="A26" s="18" t="s">
        <v>2</v>
      </c>
      <c r="B26" s="5">
        <v>280000</v>
      </c>
      <c r="C26" s="18" t="s">
        <v>5</v>
      </c>
      <c r="D26" s="5">
        <v>50000</v>
      </c>
    </row>
    <row r="27" spans="1:4" ht="16.2" thickBot="1" x14ac:dyDescent="0.35">
      <c r="A27" s="17"/>
      <c r="B27" s="4"/>
      <c r="C27" s="17"/>
      <c r="D27" s="4"/>
    </row>
    <row r="28" spans="1:4" ht="16.2" thickBot="1" x14ac:dyDescent="0.35">
      <c r="A28" s="17"/>
      <c r="B28" s="4"/>
      <c r="C28" s="16" t="s">
        <v>10</v>
      </c>
      <c r="D28" s="4"/>
    </row>
    <row r="29" spans="1:4" ht="16.2" thickBot="1" x14ac:dyDescent="0.35">
      <c r="A29" s="17"/>
      <c r="B29" s="4"/>
      <c r="C29" s="18" t="s">
        <v>11</v>
      </c>
      <c r="D29" s="5">
        <v>150000</v>
      </c>
    </row>
    <row r="30" spans="1:4" ht="16.2" thickBot="1" x14ac:dyDescent="0.35">
      <c r="A30" s="17"/>
      <c r="B30" s="4"/>
      <c r="C30" s="18" t="s">
        <v>13</v>
      </c>
      <c r="D30" s="5">
        <v>80000</v>
      </c>
    </row>
    <row r="31" spans="1:4" ht="16.2" thickBot="1" x14ac:dyDescent="0.35">
      <c r="A31" s="17"/>
      <c r="B31" s="4"/>
      <c r="C31" s="17"/>
      <c r="D31" s="4"/>
    </row>
    <row r="32" spans="1:4" s="2" customFormat="1" ht="16.2" thickBot="1" x14ac:dyDescent="0.35">
      <c r="A32" s="7" t="s">
        <v>6</v>
      </c>
      <c r="B32" s="3">
        <f ca="1">SUM(B25:B32)</f>
        <v>280000</v>
      </c>
      <c r="C32" s="7" t="s">
        <v>7</v>
      </c>
      <c r="D32" s="3">
        <f ca="1">SUM(D25:D32)</f>
        <v>280000</v>
      </c>
    </row>
    <row r="34" spans="1:4" ht="16.2" thickBot="1" x14ac:dyDescent="0.35">
      <c r="A34" s="14" t="s">
        <v>14</v>
      </c>
    </row>
    <row r="35" spans="1:4" ht="15" customHeight="1" x14ac:dyDescent="0.3">
      <c r="A35" s="8" t="s">
        <v>1</v>
      </c>
      <c r="B35" s="9"/>
      <c r="C35" s="8" t="s">
        <v>0</v>
      </c>
      <c r="D35" s="10"/>
    </row>
    <row r="36" spans="1:4" ht="15" customHeight="1" thickBot="1" x14ac:dyDescent="0.35">
      <c r="A36" s="11"/>
      <c r="B36" s="12"/>
      <c r="C36" s="11"/>
      <c r="D36" s="13"/>
    </row>
    <row r="37" spans="1:4" ht="16.2" thickBot="1" x14ac:dyDescent="0.35">
      <c r="A37" s="16" t="s">
        <v>3</v>
      </c>
      <c r="B37" s="4"/>
      <c r="C37" s="16" t="s">
        <v>4</v>
      </c>
      <c r="D37" s="4"/>
    </row>
    <row r="38" spans="1:4" ht="16.2" thickBot="1" x14ac:dyDescent="0.35">
      <c r="A38" s="18" t="s">
        <v>2</v>
      </c>
      <c r="B38" s="5">
        <v>340000</v>
      </c>
      <c r="C38" s="18" t="s">
        <v>5</v>
      </c>
      <c r="D38" s="5">
        <v>50000</v>
      </c>
    </row>
    <row r="39" spans="1:4" ht="16.2" thickBot="1" x14ac:dyDescent="0.35">
      <c r="A39" s="17"/>
      <c r="B39" s="4"/>
      <c r="C39" s="17"/>
      <c r="D39" s="4"/>
    </row>
    <row r="40" spans="1:4" ht="16.2" thickBot="1" x14ac:dyDescent="0.35">
      <c r="A40" s="17"/>
      <c r="B40" s="4"/>
      <c r="C40" s="16" t="s">
        <v>10</v>
      </c>
      <c r="D40" s="4"/>
    </row>
    <row r="41" spans="1:4" ht="16.2" thickBot="1" x14ac:dyDescent="0.35">
      <c r="A41" s="17"/>
      <c r="B41" s="4"/>
      <c r="C41" s="18" t="s">
        <v>11</v>
      </c>
      <c r="D41" s="5">
        <v>150000</v>
      </c>
    </row>
    <row r="42" spans="1:4" ht="16.2" thickBot="1" x14ac:dyDescent="0.35">
      <c r="A42" s="17"/>
      <c r="B42" s="4"/>
      <c r="C42" s="18" t="s">
        <v>13</v>
      </c>
      <c r="D42" s="5">
        <v>80000</v>
      </c>
    </row>
    <row r="43" spans="1:4" ht="16.2" thickBot="1" x14ac:dyDescent="0.35">
      <c r="A43" s="17"/>
      <c r="B43" s="4"/>
      <c r="C43" s="18" t="s">
        <v>15</v>
      </c>
      <c r="D43" s="5">
        <v>60000</v>
      </c>
    </row>
    <row r="44" spans="1:4" ht="16.2" thickBot="1" x14ac:dyDescent="0.35">
      <c r="A44" s="17"/>
      <c r="B44" s="4"/>
      <c r="C44" s="17"/>
      <c r="D44" s="4"/>
    </row>
    <row r="45" spans="1:4" s="2" customFormat="1" ht="16.2" thickBot="1" x14ac:dyDescent="0.35">
      <c r="A45" s="7" t="s">
        <v>6</v>
      </c>
      <c r="B45" s="3">
        <f ca="1">SUM(B37:B45)</f>
        <v>340000</v>
      </c>
      <c r="C45" s="7" t="s">
        <v>7</v>
      </c>
      <c r="D45" s="3">
        <f ca="1">SUM(D37:D45)</f>
        <v>340000</v>
      </c>
    </row>
    <row r="47" spans="1:4" ht="23.4" x14ac:dyDescent="0.3">
      <c r="A47" s="20" t="s">
        <v>16</v>
      </c>
      <c r="B47" s="20"/>
      <c r="C47" s="20"/>
      <c r="D47" s="20"/>
    </row>
    <row r="48" spans="1:4" ht="16.2" thickBot="1" x14ac:dyDescent="0.35">
      <c r="A48" s="14" t="s">
        <v>37</v>
      </c>
    </row>
    <row r="49" spans="1:4" ht="15" customHeight="1" x14ac:dyDescent="0.3">
      <c r="A49" s="8" t="s">
        <v>1</v>
      </c>
      <c r="B49" s="9"/>
      <c r="C49" s="8" t="s">
        <v>0</v>
      </c>
      <c r="D49" s="10"/>
    </row>
    <row r="50" spans="1:4" ht="15" customHeight="1" thickBot="1" x14ac:dyDescent="0.35">
      <c r="A50" s="11"/>
      <c r="B50" s="12"/>
      <c r="C50" s="11"/>
      <c r="D50" s="13"/>
    </row>
    <row r="51" spans="1:4" ht="16.2" thickBot="1" x14ac:dyDescent="0.35">
      <c r="A51" s="16" t="s">
        <v>3</v>
      </c>
      <c r="B51" s="4"/>
      <c r="C51" s="16" t="s">
        <v>4</v>
      </c>
      <c r="D51" s="4"/>
    </row>
    <row r="52" spans="1:4" ht="16.2" thickBot="1" x14ac:dyDescent="0.35">
      <c r="A52" s="21" t="s">
        <v>2</v>
      </c>
      <c r="B52" s="22">
        <v>215000</v>
      </c>
      <c r="C52" s="18" t="s">
        <v>5</v>
      </c>
      <c r="D52" s="5">
        <v>50000</v>
      </c>
    </row>
    <row r="53" spans="1:4" ht="16.2" thickBot="1" x14ac:dyDescent="0.35">
      <c r="A53" s="17"/>
      <c r="B53" s="4"/>
      <c r="C53" s="17"/>
      <c r="D53" s="4"/>
    </row>
    <row r="54" spans="1:4" ht="16.2" thickBot="1" x14ac:dyDescent="0.35">
      <c r="A54" s="16" t="s">
        <v>17</v>
      </c>
      <c r="B54" s="4"/>
      <c r="C54" s="16" t="s">
        <v>10</v>
      </c>
      <c r="D54" s="4"/>
    </row>
    <row r="55" spans="1:4" ht="16.2" thickBot="1" x14ac:dyDescent="0.35">
      <c r="A55" s="18" t="s">
        <v>18</v>
      </c>
      <c r="B55" s="5"/>
      <c r="C55" s="18" t="s">
        <v>11</v>
      </c>
      <c r="D55" s="5">
        <v>150000</v>
      </c>
    </row>
    <row r="56" spans="1:4" ht="16.2" thickBot="1" x14ac:dyDescent="0.35">
      <c r="A56" s="21" t="s">
        <v>19</v>
      </c>
      <c r="B56" s="22">
        <v>125000</v>
      </c>
      <c r="C56" s="18" t="s">
        <v>13</v>
      </c>
      <c r="D56" s="5">
        <v>80000</v>
      </c>
    </row>
    <row r="57" spans="1:4" ht="16.2" thickBot="1" x14ac:dyDescent="0.35">
      <c r="A57" s="17"/>
      <c r="B57" s="4"/>
      <c r="C57" s="18" t="s">
        <v>15</v>
      </c>
      <c r="D57" s="5">
        <v>60000</v>
      </c>
    </row>
    <row r="58" spans="1:4" ht="16.2" thickBot="1" x14ac:dyDescent="0.35">
      <c r="A58" s="17"/>
      <c r="B58" s="4"/>
      <c r="C58" s="17"/>
      <c r="D58" s="4"/>
    </row>
    <row r="59" spans="1:4" s="2" customFormat="1" ht="16.2" thickBot="1" x14ac:dyDescent="0.35">
      <c r="A59" s="7" t="s">
        <v>6</v>
      </c>
      <c r="B59" s="3">
        <f ca="1">SUM(B51:B59)</f>
        <v>340000</v>
      </c>
      <c r="C59" s="7" t="s">
        <v>7</v>
      </c>
      <c r="D59" s="3">
        <f ca="1">SUM(D51:D59)</f>
        <v>340000</v>
      </c>
    </row>
    <row r="61" spans="1:4" ht="16.2" thickBot="1" x14ac:dyDescent="0.35">
      <c r="A61" s="14" t="s">
        <v>23</v>
      </c>
    </row>
    <row r="62" spans="1:4" ht="15" customHeight="1" x14ac:dyDescent="0.3">
      <c r="A62" s="8" t="s">
        <v>1</v>
      </c>
      <c r="B62" s="9"/>
      <c r="C62" s="8" t="s">
        <v>0</v>
      </c>
      <c r="D62" s="10"/>
    </row>
    <row r="63" spans="1:4" ht="15" customHeight="1" thickBot="1" x14ac:dyDescent="0.35">
      <c r="A63" s="11"/>
      <c r="B63" s="12"/>
      <c r="C63" s="11"/>
      <c r="D63" s="13"/>
    </row>
    <row r="64" spans="1:4" ht="16.2" thickBot="1" x14ac:dyDescent="0.35">
      <c r="A64" s="16" t="s">
        <v>3</v>
      </c>
      <c r="B64" s="4"/>
      <c r="C64" s="16" t="s">
        <v>4</v>
      </c>
      <c r="D64" s="4"/>
    </row>
    <row r="65" spans="1:4" ht="16.2" thickBot="1" x14ac:dyDescent="0.35">
      <c r="A65" s="21" t="s">
        <v>2</v>
      </c>
      <c r="B65" s="22">
        <v>165000</v>
      </c>
      <c r="C65" s="18" t="s">
        <v>5</v>
      </c>
      <c r="D65" s="5">
        <v>50000</v>
      </c>
    </row>
    <row r="66" spans="1:4" ht="16.2" thickBot="1" x14ac:dyDescent="0.35">
      <c r="A66" s="17"/>
      <c r="B66" s="4"/>
      <c r="C66" s="17"/>
      <c r="D66" s="4"/>
    </row>
    <row r="67" spans="1:4" ht="16.2" thickBot="1" x14ac:dyDescent="0.35">
      <c r="A67" s="16" t="s">
        <v>17</v>
      </c>
      <c r="B67" s="4"/>
      <c r="C67" s="16" t="s">
        <v>10</v>
      </c>
      <c r="D67" s="4"/>
    </row>
    <row r="68" spans="1:4" ht="16.2" thickBot="1" x14ac:dyDescent="0.35">
      <c r="A68" s="18" t="s">
        <v>18</v>
      </c>
      <c r="B68" s="5"/>
      <c r="C68" s="18" t="s">
        <v>11</v>
      </c>
      <c r="D68" s="5">
        <v>150000</v>
      </c>
    </row>
    <row r="69" spans="1:4" ht="16.2" thickBot="1" x14ac:dyDescent="0.35">
      <c r="A69" s="18" t="s">
        <v>19</v>
      </c>
      <c r="B69" s="5">
        <v>125000</v>
      </c>
      <c r="C69" s="18" t="s">
        <v>13</v>
      </c>
      <c r="D69" s="5">
        <v>80000</v>
      </c>
    </row>
    <row r="70" spans="1:4" ht="16.2" thickBot="1" x14ac:dyDescent="0.35">
      <c r="A70" s="21" t="s">
        <v>20</v>
      </c>
      <c r="B70" s="22">
        <v>95000</v>
      </c>
      <c r="C70" s="18" t="s">
        <v>15</v>
      </c>
      <c r="D70" s="5">
        <v>60000</v>
      </c>
    </row>
    <row r="71" spans="1:4" ht="16.2" thickBot="1" x14ac:dyDescent="0.35">
      <c r="A71" s="17"/>
      <c r="B71" s="4"/>
      <c r="C71" s="17"/>
      <c r="D71" s="4"/>
    </row>
    <row r="72" spans="1:4" ht="16.2" thickBot="1" x14ac:dyDescent="0.35">
      <c r="A72" s="17"/>
      <c r="B72" s="4"/>
      <c r="C72" s="16" t="s">
        <v>21</v>
      </c>
      <c r="D72" s="4"/>
    </row>
    <row r="73" spans="1:4" ht="16.2" thickBot="1" x14ac:dyDescent="0.35">
      <c r="A73" s="17"/>
      <c r="B73" s="4"/>
      <c r="C73" s="21" t="s">
        <v>22</v>
      </c>
      <c r="D73" s="22">
        <v>45000</v>
      </c>
    </row>
    <row r="74" spans="1:4" ht="16.2" thickBot="1" x14ac:dyDescent="0.35">
      <c r="A74" s="17"/>
      <c r="B74" s="4"/>
      <c r="C74" s="17"/>
      <c r="D74" s="4"/>
    </row>
    <row r="75" spans="1:4" s="2" customFormat="1" ht="16.2" thickBot="1" x14ac:dyDescent="0.35">
      <c r="A75" s="7" t="s">
        <v>6</v>
      </c>
      <c r="B75" s="3">
        <f ca="1">SUM(B64:B75)</f>
        <v>385000</v>
      </c>
      <c r="C75" s="7" t="s">
        <v>7</v>
      </c>
      <c r="D75" s="3">
        <f ca="1">SUM(D64:D75)</f>
        <v>385000</v>
      </c>
    </row>
    <row r="77" spans="1:4" ht="16.2" thickBot="1" x14ac:dyDescent="0.35">
      <c r="A77" s="14" t="s">
        <v>24</v>
      </c>
    </row>
    <row r="78" spans="1:4" ht="15" customHeight="1" x14ac:dyDescent="0.3">
      <c r="A78" s="8" t="s">
        <v>1</v>
      </c>
      <c r="B78" s="9"/>
      <c r="C78" s="8" t="s">
        <v>0</v>
      </c>
      <c r="D78" s="10"/>
    </row>
    <row r="79" spans="1:4" ht="15" customHeight="1" thickBot="1" x14ac:dyDescent="0.35">
      <c r="A79" s="11"/>
      <c r="B79" s="12"/>
      <c r="C79" s="11"/>
      <c r="D79" s="13"/>
    </row>
    <row r="80" spans="1:4" ht="16.2" thickBot="1" x14ac:dyDescent="0.35">
      <c r="A80" s="16" t="s">
        <v>3</v>
      </c>
      <c r="B80" s="4"/>
      <c r="C80" s="16" t="s">
        <v>4</v>
      </c>
      <c r="D80" s="4"/>
    </row>
    <row r="81" spans="1:6" ht="16.2" thickBot="1" x14ac:dyDescent="0.35">
      <c r="A81" s="21" t="s">
        <v>2</v>
      </c>
      <c r="B81" s="22">
        <v>120000</v>
      </c>
      <c r="C81" s="18" t="s">
        <v>5</v>
      </c>
      <c r="D81" s="5">
        <v>50000</v>
      </c>
    </row>
    <row r="82" spans="1:6" ht="16.2" thickBot="1" x14ac:dyDescent="0.35">
      <c r="A82" s="17"/>
      <c r="B82" s="4"/>
      <c r="C82" s="17"/>
      <c r="D82" s="4"/>
    </row>
    <row r="83" spans="1:6" ht="16.2" thickBot="1" x14ac:dyDescent="0.35">
      <c r="A83" s="16" t="s">
        <v>17</v>
      </c>
      <c r="B83" s="4"/>
      <c r="C83" s="16" t="s">
        <v>10</v>
      </c>
      <c r="D83" s="4"/>
    </row>
    <row r="84" spans="1:6" ht="16.2" thickBot="1" x14ac:dyDescent="0.35">
      <c r="A84" s="18" t="s">
        <v>18</v>
      </c>
      <c r="B84" s="5"/>
      <c r="C84" s="18" t="s">
        <v>11</v>
      </c>
      <c r="D84" s="5">
        <v>150000</v>
      </c>
    </row>
    <row r="85" spans="1:6" ht="16.2" thickBot="1" x14ac:dyDescent="0.35">
      <c r="A85" s="18" t="s">
        <v>19</v>
      </c>
      <c r="B85" s="5">
        <v>125000</v>
      </c>
      <c r="C85" s="18" t="s">
        <v>13</v>
      </c>
      <c r="D85" s="5">
        <v>80000</v>
      </c>
    </row>
    <row r="86" spans="1:6" ht="16.2" thickBot="1" x14ac:dyDescent="0.35">
      <c r="A86" s="18" t="s">
        <v>20</v>
      </c>
      <c r="B86" s="4">
        <v>95000</v>
      </c>
      <c r="C86" s="18" t="s">
        <v>15</v>
      </c>
      <c r="D86" s="5">
        <v>60000</v>
      </c>
      <c r="F86" s="23" t="s">
        <v>34</v>
      </c>
    </row>
    <row r="87" spans="1:6" ht="16.2" thickBot="1" x14ac:dyDescent="0.35">
      <c r="A87" s="17"/>
      <c r="B87" s="4"/>
      <c r="C87" s="17"/>
      <c r="D87" s="4"/>
    </row>
    <row r="88" spans="1:6" s="2" customFormat="1" ht="16.2" thickBot="1" x14ac:dyDescent="0.35">
      <c r="A88" s="7" t="s">
        <v>6</v>
      </c>
      <c r="B88" s="3">
        <f ca="1">SUM(B80:B88)</f>
        <v>340000</v>
      </c>
      <c r="C88" s="7" t="s">
        <v>7</v>
      </c>
      <c r="D88" s="3">
        <f ca="1">SUM(D80:D88)</f>
        <v>340000</v>
      </c>
    </row>
    <row r="90" spans="1:6" ht="16.2" thickBot="1" x14ac:dyDescent="0.35">
      <c r="A90" s="14" t="s">
        <v>25</v>
      </c>
    </row>
    <row r="91" spans="1:6" ht="15" customHeight="1" x14ac:dyDescent="0.3">
      <c r="A91" s="8" t="s">
        <v>1</v>
      </c>
      <c r="B91" s="9"/>
      <c r="C91" s="8" t="s">
        <v>0</v>
      </c>
      <c r="D91" s="10"/>
    </row>
    <row r="92" spans="1:6" ht="15" customHeight="1" thickBot="1" x14ac:dyDescent="0.35">
      <c r="A92" s="11"/>
      <c r="B92" s="12"/>
      <c r="C92" s="11"/>
      <c r="D92" s="13"/>
    </row>
    <row r="93" spans="1:6" ht="16.2" thickBot="1" x14ac:dyDescent="0.35">
      <c r="A93" s="16" t="s">
        <v>3</v>
      </c>
      <c r="B93" s="4"/>
      <c r="C93" s="16" t="s">
        <v>4</v>
      </c>
      <c r="D93" s="4"/>
    </row>
    <row r="94" spans="1:6" ht="16.2" thickBot="1" x14ac:dyDescent="0.35">
      <c r="A94" s="21" t="s">
        <v>2</v>
      </c>
      <c r="B94" s="22">
        <v>83400</v>
      </c>
      <c r="C94" s="18" t="s">
        <v>5</v>
      </c>
      <c r="D94" s="5">
        <v>50000</v>
      </c>
      <c r="F94" s="15" t="s">
        <v>36</v>
      </c>
    </row>
    <row r="95" spans="1:6" ht="16.2" thickBot="1" x14ac:dyDescent="0.35">
      <c r="A95" s="17"/>
      <c r="B95" s="4"/>
      <c r="C95" s="17"/>
      <c r="D95" s="4"/>
    </row>
    <row r="96" spans="1:6" ht="16.2" thickBot="1" x14ac:dyDescent="0.35">
      <c r="A96" s="16" t="s">
        <v>28</v>
      </c>
      <c r="B96" s="4"/>
      <c r="C96" s="16" t="s">
        <v>10</v>
      </c>
      <c r="D96" s="4"/>
    </row>
    <row r="97" spans="1:4" ht="16.2" thickBot="1" x14ac:dyDescent="0.35">
      <c r="A97" s="21" t="s">
        <v>29</v>
      </c>
      <c r="B97" s="22">
        <v>6600</v>
      </c>
      <c r="C97" s="18" t="s">
        <v>11</v>
      </c>
      <c r="D97" s="5">
        <v>150000</v>
      </c>
    </row>
    <row r="98" spans="1:4" ht="16.2" thickBot="1" x14ac:dyDescent="0.35">
      <c r="A98" s="17"/>
      <c r="B98" s="4"/>
      <c r="C98" s="18" t="s">
        <v>13</v>
      </c>
      <c r="D98" s="5">
        <v>80000</v>
      </c>
    </row>
    <row r="99" spans="1:4" ht="16.2" thickBot="1" x14ac:dyDescent="0.35">
      <c r="A99" s="16" t="s">
        <v>17</v>
      </c>
      <c r="B99" s="4"/>
      <c r="C99" s="18" t="s">
        <v>15</v>
      </c>
      <c r="D99" s="5">
        <v>60000</v>
      </c>
    </row>
    <row r="100" spans="1:4" ht="16.2" thickBot="1" x14ac:dyDescent="0.35">
      <c r="A100" s="18" t="s">
        <v>18</v>
      </c>
      <c r="B100" s="5"/>
      <c r="C100" s="17"/>
      <c r="D100" s="4"/>
    </row>
    <row r="101" spans="1:4" ht="16.2" thickBot="1" x14ac:dyDescent="0.35">
      <c r="A101" s="18" t="s">
        <v>19</v>
      </c>
      <c r="B101" s="5">
        <v>125000</v>
      </c>
      <c r="C101" s="17"/>
      <c r="D101" s="4"/>
    </row>
    <row r="102" spans="1:4" ht="16.2" thickBot="1" x14ac:dyDescent="0.35">
      <c r="A102" s="18" t="s">
        <v>20</v>
      </c>
      <c r="B102" s="4">
        <v>95000</v>
      </c>
      <c r="C102" s="17"/>
      <c r="D102" s="4"/>
    </row>
    <row r="103" spans="1:4" ht="16.2" thickBot="1" x14ac:dyDescent="0.35">
      <c r="A103" s="17"/>
      <c r="B103" s="4"/>
      <c r="C103" s="17"/>
      <c r="D103" s="4"/>
    </row>
    <row r="104" spans="1:4" ht="16.2" thickBot="1" x14ac:dyDescent="0.35">
      <c r="A104" s="16" t="s">
        <v>26</v>
      </c>
      <c r="B104" s="4"/>
      <c r="C104" s="17"/>
      <c r="D104" s="4"/>
    </row>
    <row r="105" spans="1:4" ht="16.2" thickBot="1" x14ac:dyDescent="0.35">
      <c r="A105" s="21" t="s">
        <v>27</v>
      </c>
      <c r="B105" s="22">
        <v>30000</v>
      </c>
      <c r="C105" s="17"/>
      <c r="D105" s="4"/>
    </row>
    <row r="106" spans="1:4" ht="16.2" thickBot="1" x14ac:dyDescent="0.35">
      <c r="A106" s="17"/>
      <c r="B106" s="4"/>
      <c r="C106" s="17"/>
      <c r="D106" s="4"/>
    </row>
    <row r="107" spans="1:4" s="2" customFormat="1" ht="16.2" thickBot="1" x14ac:dyDescent="0.35">
      <c r="A107" s="7" t="s">
        <v>6</v>
      </c>
      <c r="B107" s="3">
        <f ca="1">SUM(B93:B107)</f>
        <v>340000</v>
      </c>
      <c r="C107" s="7" t="s">
        <v>7</v>
      </c>
      <c r="D107" s="3">
        <f ca="1">SUM(D93:D107)</f>
        <v>340000</v>
      </c>
    </row>
    <row r="109" spans="1:4" ht="16.2" thickBot="1" x14ac:dyDescent="0.35">
      <c r="A109" s="14" t="s">
        <v>30</v>
      </c>
    </row>
    <row r="110" spans="1:4" ht="15" customHeight="1" x14ac:dyDescent="0.3">
      <c r="A110" s="8" t="s">
        <v>1</v>
      </c>
      <c r="B110" s="9"/>
      <c r="C110" s="8" t="s">
        <v>0</v>
      </c>
      <c r="D110" s="10"/>
    </row>
    <row r="111" spans="1:4" ht="15" customHeight="1" thickBot="1" x14ac:dyDescent="0.35">
      <c r="A111" s="11"/>
      <c r="B111" s="12"/>
      <c r="C111" s="11"/>
      <c r="D111" s="13"/>
    </row>
    <row r="112" spans="1:4" ht="16.2" thickBot="1" x14ac:dyDescent="0.35">
      <c r="A112" s="16" t="s">
        <v>3</v>
      </c>
      <c r="B112" s="4"/>
      <c r="C112" s="16" t="s">
        <v>4</v>
      </c>
      <c r="D112" s="4"/>
    </row>
    <row r="113" spans="1:4" ht="16.2" thickBot="1" x14ac:dyDescent="0.35">
      <c r="A113" s="21" t="s">
        <v>2</v>
      </c>
      <c r="B113" s="22">
        <v>63400</v>
      </c>
      <c r="C113" s="18" t="s">
        <v>5</v>
      </c>
      <c r="D113" s="5">
        <v>50000</v>
      </c>
    </row>
    <row r="114" spans="1:4" ht="16.2" thickBot="1" x14ac:dyDescent="0.35">
      <c r="A114" s="17"/>
      <c r="B114" s="4"/>
      <c r="C114" s="17"/>
      <c r="D114" s="4"/>
    </row>
    <row r="115" spans="1:4" ht="16.2" thickBot="1" x14ac:dyDescent="0.35">
      <c r="A115" s="16" t="s">
        <v>28</v>
      </c>
      <c r="B115" s="4"/>
      <c r="C115" s="16" t="s">
        <v>10</v>
      </c>
      <c r="D115" s="4"/>
    </row>
    <row r="116" spans="1:4" ht="16.2" thickBot="1" x14ac:dyDescent="0.35">
      <c r="A116" s="18" t="s">
        <v>29</v>
      </c>
      <c r="B116" s="5">
        <v>6600</v>
      </c>
      <c r="C116" s="18" t="s">
        <v>11</v>
      </c>
      <c r="D116" s="5">
        <v>150000</v>
      </c>
    </row>
    <row r="117" spans="1:4" ht="16.2" thickBot="1" x14ac:dyDescent="0.35">
      <c r="A117" s="17"/>
      <c r="B117" s="4"/>
      <c r="C117" s="18" t="s">
        <v>13</v>
      </c>
      <c r="D117" s="5">
        <v>80000</v>
      </c>
    </row>
    <row r="118" spans="1:4" ht="16.2" thickBot="1" x14ac:dyDescent="0.35">
      <c r="A118" s="16" t="s">
        <v>17</v>
      </c>
      <c r="B118" s="4"/>
      <c r="C118" s="18" t="s">
        <v>15</v>
      </c>
      <c r="D118" s="5">
        <v>60000</v>
      </c>
    </row>
    <row r="119" spans="1:4" ht="16.2" thickBot="1" x14ac:dyDescent="0.35">
      <c r="A119" s="18" t="s">
        <v>18</v>
      </c>
      <c r="B119" s="5"/>
      <c r="C119" s="17"/>
      <c r="D119" s="4"/>
    </row>
    <row r="120" spans="1:4" ht="16.2" thickBot="1" x14ac:dyDescent="0.35">
      <c r="A120" s="18" t="s">
        <v>19</v>
      </c>
      <c r="B120" s="5">
        <v>125000</v>
      </c>
      <c r="C120" s="17"/>
      <c r="D120" s="4"/>
    </row>
    <row r="121" spans="1:4" ht="16.2" thickBot="1" x14ac:dyDescent="0.35">
      <c r="A121" s="18" t="s">
        <v>20</v>
      </c>
      <c r="B121" s="4">
        <v>95000</v>
      </c>
      <c r="C121" s="17"/>
      <c r="D121" s="4"/>
    </row>
    <row r="122" spans="1:4" ht="16.2" thickBot="1" x14ac:dyDescent="0.35">
      <c r="A122" s="17"/>
      <c r="B122" s="4"/>
      <c r="C122" s="17"/>
      <c r="D122" s="4"/>
    </row>
    <row r="123" spans="1:4" ht="16.2" thickBot="1" x14ac:dyDescent="0.35">
      <c r="A123" s="16" t="s">
        <v>26</v>
      </c>
      <c r="B123" s="4"/>
      <c r="C123" s="17"/>
      <c r="D123" s="4"/>
    </row>
    <row r="124" spans="1:4" ht="16.2" thickBot="1" x14ac:dyDescent="0.35">
      <c r="A124" s="18" t="s">
        <v>27</v>
      </c>
      <c r="B124" s="5">
        <v>30000</v>
      </c>
      <c r="C124" s="17"/>
      <c r="D124" s="4"/>
    </row>
    <row r="125" spans="1:4" ht="16.2" thickBot="1" x14ac:dyDescent="0.35">
      <c r="A125" s="21" t="s">
        <v>38</v>
      </c>
      <c r="B125" s="22">
        <v>20000</v>
      </c>
      <c r="C125" s="17"/>
      <c r="D125" s="4"/>
    </row>
    <row r="126" spans="1:4" ht="16.2" thickBot="1" x14ac:dyDescent="0.35">
      <c r="A126" s="17"/>
      <c r="B126" s="4"/>
      <c r="C126" s="17"/>
      <c r="D126" s="4"/>
    </row>
    <row r="127" spans="1:4" ht="16.2" thickBot="1" x14ac:dyDescent="0.35">
      <c r="A127" s="7" t="s">
        <v>6</v>
      </c>
      <c r="B127" s="3">
        <f ca="1">SUM(B112:B127)</f>
        <v>340000</v>
      </c>
      <c r="C127" s="7" t="s">
        <v>7</v>
      </c>
      <c r="D127" s="3">
        <f ca="1">SUM(D112:D127)</f>
        <v>340000</v>
      </c>
    </row>
    <row r="129" spans="1:7" ht="16.2" thickBot="1" x14ac:dyDescent="0.35">
      <c r="A129" s="14" t="s">
        <v>31</v>
      </c>
    </row>
    <row r="130" spans="1:7" ht="15" customHeight="1" x14ac:dyDescent="0.3">
      <c r="A130" s="8" t="s">
        <v>1</v>
      </c>
      <c r="B130" s="9"/>
      <c r="C130" s="8" t="s">
        <v>0</v>
      </c>
      <c r="D130" s="10"/>
    </row>
    <row r="131" spans="1:7" ht="15" customHeight="1" thickBot="1" x14ac:dyDescent="0.35">
      <c r="A131" s="11"/>
      <c r="B131" s="12"/>
      <c r="C131" s="11"/>
      <c r="D131" s="13"/>
    </row>
    <row r="132" spans="1:7" ht="16.2" thickBot="1" x14ac:dyDescent="0.35">
      <c r="A132" s="16" t="s">
        <v>3</v>
      </c>
      <c r="B132" s="4"/>
      <c r="C132" s="16" t="s">
        <v>4</v>
      </c>
      <c r="D132" s="4"/>
    </row>
    <row r="133" spans="1:7" ht="16.2" thickBot="1" x14ac:dyDescent="0.35">
      <c r="A133" s="21" t="s">
        <v>2</v>
      </c>
      <c r="B133" s="22">
        <v>58400</v>
      </c>
      <c r="C133" s="18" t="s">
        <v>5</v>
      </c>
      <c r="D133" s="5">
        <v>50000</v>
      </c>
    </row>
    <row r="134" spans="1:7" ht="16.2" thickBot="1" x14ac:dyDescent="0.35">
      <c r="A134" s="17"/>
      <c r="B134" s="4"/>
      <c r="C134" s="17"/>
      <c r="D134" s="4"/>
    </row>
    <row r="135" spans="1:7" ht="16.2" thickBot="1" x14ac:dyDescent="0.35">
      <c r="A135" s="16" t="s">
        <v>28</v>
      </c>
      <c r="B135" s="4"/>
      <c r="C135" s="16" t="s">
        <v>10</v>
      </c>
      <c r="D135" s="4"/>
    </row>
    <row r="136" spans="1:7" ht="16.2" thickBot="1" x14ac:dyDescent="0.35">
      <c r="A136" s="18" t="s">
        <v>29</v>
      </c>
      <c r="B136" s="5">
        <v>6600</v>
      </c>
      <c r="C136" s="21" t="s">
        <v>11</v>
      </c>
      <c r="D136" s="22">
        <v>145500</v>
      </c>
      <c r="G136" s="15" t="s">
        <v>35</v>
      </c>
    </row>
    <row r="137" spans="1:7" ht="16.2" thickBot="1" x14ac:dyDescent="0.35">
      <c r="A137" s="17"/>
      <c r="B137" s="4"/>
      <c r="C137" s="18" t="s">
        <v>13</v>
      </c>
      <c r="D137" s="5">
        <v>80000</v>
      </c>
    </row>
    <row r="138" spans="1:7" ht="16.2" thickBot="1" x14ac:dyDescent="0.35">
      <c r="A138" s="16" t="s">
        <v>17</v>
      </c>
      <c r="B138" s="4"/>
      <c r="C138" s="18" t="s">
        <v>15</v>
      </c>
      <c r="D138" s="5">
        <v>60000</v>
      </c>
    </row>
    <row r="139" spans="1:7" ht="16.2" thickBot="1" x14ac:dyDescent="0.35">
      <c r="A139" s="18" t="s">
        <v>18</v>
      </c>
      <c r="B139" s="5"/>
      <c r="C139" s="17"/>
      <c r="D139" s="4"/>
    </row>
    <row r="140" spans="1:7" ht="16.2" thickBot="1" x14ac:dyDescent="0.35">
      <c r="A140" s="18" t="s">
        <v>19</v>
      </c>
      <c r="B140" s="5">
        <v>125000</v>
      </c>
      <c r="C140" s="17"/>
      <c r="D140" s="4"/>
    </row>
    <row r="141" spans="1:7" ht="16.2" thickBot="1" x14ac:dyDescent="0.35">
      <c r="A141" s="18" t="s">
        <v>20</v>
      </c>
      <c r="B141" s="4">
        <v>95000</v>
      </c>
      <c r="C141" s="17"/>
      <c r="D141" s="4"/>
    </row>
    <row r="142" spans="1:7" ht="16.2" thickBot="1" x14ac:dyDescent="0.35">
      <c r="A142" s="17"/>
      <c r="B142" s="4"/>
      <c r="C142" s="17"/>
      <c r="D142" s="4"/>
    </row>
    <row r="143" spans="1:7" ht="16.2" thickBot="1" x14ac:dyDescent="0.35">
      <c r="A143" s="16" t="s">
        <v>26</v>
      </c>
      <c r="B143" s="4"/>
      <c r="C143" s="17"/>
      <c r="D143" s="4"/>
    </row>
    <row r="144" spans="1:7" ht="16.2" thickBot="1" x14ac:dyDescent="0.35">
      <c r="A144" s="18" t="s">
        <v>27</v>
      </c>
      <c r="B144" s="5">
        <v>30000</v>
      </c>
      <c r="C144" s="17"/>
      <c r="D144" s="4"/>
    </row>
    <row r="145" spans="1:4" ht="16.2" thickBot="1" x14ac:dyDescent="0.35">
      <c r="A145" s="18" t="s">
        <v>38</v>
      </c>
      <c r="B145" s="5">
        <v>20000</v>
      </c>
      <c r="C145" s="17"/>
      <c r="D145" s="4"/>
    </row>
    <row r="146" spans="1:4" ht="16.2" thickBot="1" x14ac:dyDescent="0.35">
      <c r="A146" s="21" t="s">
        <v>32</v>
      </c>
      <c r="B146" s="22">
        <v>500</v>
      </c>
      <c r="C146" s="17"/>
      <c r="D146" s="4"/>
    </row>
    <row r="147" spans="1:4" ht="16.2" thickBot="1" x14ac:dyDescent="0.35">
      <c r="A147" s="17"/>
      <c r="B147" s="4"/>
      <c r="C147" s="17"/>
      <c r="D147" s="4"/>
    </row>
    <row r="148" spans="1:4" s="2" customFormat="1" ht="16.2" thickBot="1" x14ac:dyDescent="0.35">
      <c r="A148" s="7" t="s">
        <v>6</v>
      </c>
      <c r="B148" s="3">
        <f ca="1">SUM(B132:B148)</f>
        <v>335500</v>
      </c>
      <c r="C148" s="7" t="s">
        <v>7</v>
      </c>
      <c r="D148" s="3">
        <f ca="1">SUM(D132:D148)</f>
        <v>335500</v>
      </c>
    </row>
  </sheetData>
  <mergeCells count="22">
    <mergeCell ref="A130:B131"/>
    <mergeCell ref="C130:D131"/>
    <mergeCell ref="A47:D47"/>
    <mergeCell ref="A1:D1"/>
    <mergeCell ref="A78:B79"/>
    <mergeCell ref="C78:D79"/>
    <mergeCell ref="A91:B92"/>
    <mergeCell ref="C91:D92"/>
    <mergeCell ref="A110:B111"/>
    <mergeCell ref="C110:D111"/>
    <mergeCell ref="A35:B36"/>
    <mergeCell ref="C35:D36"/>
    <mergeCell ref="A49:B50"/>
    <mergeCell ref="C49:D50"/>
    <mergeCell ref="A62:B63"/>
    <mergeCell ref="C62:D63"/>
    <mergeCell ref="A12:B13"/>
    <mergeCell ref="C12:D13"/>
    <mergeCell ref="A23:B24"/>
    <mergeCell ref="C23:D24"/>
    <mergeCell ref="A3:B4"/>
    <mergeCell ref="C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Giammaria</dc:creator>
  <cp:lastModifiedBy>Francesco Giammaria</cp:lastModifiedBy>
  <dcterms:created xsi:type="dcterms:W3CDTF">2026-03-19T10:03:29Z</dcterms:created>
  <dcterms:modified xsi:type="dcterms:W3CDTF">2026-03-19T11:12:04Z</dcterms:modified>
</cp:coreProperties>
</file>