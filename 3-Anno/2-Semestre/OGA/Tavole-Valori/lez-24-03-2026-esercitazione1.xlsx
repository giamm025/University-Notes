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ad629029ad1a4a/1-University-Notes/3-Anno/2-Semestre/OGA/Tavole-Valori/"/>
    </mc:Choice>
  </mc:AlternateContent>
  <xr:revisionPtr revIDLastSave="13" documentId="8_{C86D8E60-2695-45F8-9AC4-4F753627EA07}" xr6:coauthVersionLast="47" xr6:coauthVersionMax="47" xr10:uidLastSave="{A3A6840D-D5F8-4FB6-BF2D-1D7E594A15CD}"/>
  <bookViews>
    <workbookView xWindow="28695" yWindow="0" windowWidth="14610" windowHeight="15585" xr2:uid="{DC39C884-4E06-491C-AD56-B33537850DB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5" i="1" l="1"/>
  <c r="D225" i="1"/>
  <c r="D199" i="1"/>
  <c r="B199" i="1"/>
  <c r="B174" i="1"/>
  <c r="D174" i="1"/>
  <c r="D150" i="1"/>
  <c r="B150" i="1"/>
  <c r="B127" i="1"/>
  <c r="D127" i="1"/>
  <c r="D105" i="1"/>
  <c r="B105" i="1"/>
  <c r="B84" i="1"/>
  <c r="D84" i="1"/>
  <c r="D63" i="1"/>
  <c r="B63" i="1"/>
  <c r="D45" i="1"/>
  <c r="B45" i="1"/>
  <c r="D28" i="1"/>
  <c r="B28" i="1"/>
  <c r="D12" i="1"/>
  <c r="B12" i="1"/>
</calcChain>
</file>

<file path=xl/sharedStrings.xml><?xml version="1.0" encoding="utf-8"?>
<sst xmlns="http://schemas.openxmlformats.org/spreadsheetml/2006/main" count="228" uniqueCount="28">
  <si>
    <t>FONTI</t>
  </si>
  <si>
    <t>IMPIEGHI</t>
  </si>
  <si>
    <t>- C/C Bancario</t>
  </si>
  <si>
    <t>LIQUIDITA</t>
  </si>
  <si>
    <t>CAPITALE DI RISCHIO</t>
  </si>
  <si>
    <t>- Capitale Sociale</t>
  </si>
  <si>
    <t>Tot. Fonti</t>
  </si>
  <si>
    <t>Tot. Impieghi</t>
  </si>
  <si>
    <t>CAPITALE DI CREDITO</t>
  </si>
  <si>
    <t>- Finanziamenti Bancari</t>
  </si>
  <si>
    <t>SPESE DI INVESTIMENTO</t>
  </si>
  <si>
    <t>DEBITI DI DILAZIONE</t>
  </si>
  <si>
    <t>SPESE CORRENTI</t>
  </si>
  <si>
    <t>- Interessi Passivi</t>
  </si>
  <si>
    <t>- Terreni e Fabbricati</t>
  </si>
  <si>
    <t>II) Immobilizzazioni Materiali</t>
  </si>
  <si>
    <t>- Costi di Impianto e di Ampliamento</t>
  </si>
  <si>
    <t>I) Immobilizzazioni Immateriali</t>
  </si>
  <si>
    <t>- Impianti e Macchinari</t>
  </si>
  <si>
    <t>- Debiti v/fornitori di impianti</t>
  </si>
  <si>
    <t>- Debiti v/fornitori di materie</t>
  </si>
  <si>
    <t>- Acquisto di Materie Prime</t>
  </si>
  <si>
    <t>- Spese per Servizi</t>
  </si>
  <si>
    <t>-Spese per Godimento Beni di Terzi</t>
  </si>
  <si>
    <t>- Debiti v/fornitori di mobili</t>
  </si>
  <si>
    <t>- Acconti per Imm. Materiali</t>
  </si>
  <si>
    <t>- Mobili e Arredi</t>
  </si>
  <si>
    <t>- Spese per Godimento Beni di Terzi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</si>
</sst>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2"/>
      <color rgb="FF00206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89"/>
        <bgColor indexed="64"/>
      </patternFill>
    </fill>
    <fill>
      <patternFill patternType="solid">
        <fgColor rgb="FFF5BA9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rgb="FF002060"/>
      </left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/>
    </xf>
    <xf numFmtId="3" fontId="2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5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4" borderId="1" xfId="0" quotePrefix="1" applyFont="1" applyFill="1" applyBorder="1" applyAlignment="1">
      <alignment horizontal="left" vertical="center"/>
    </xf>
    <xf numFmtId="0" fontId="2" fillId="3" borderId="1" xfId="0" quotePrefix="1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5BA95"/>
      <color rgb="FFFFCC99"/>
      <color rgb="FFFFFF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43A0C-9AAF-4C11-959E-024F75F4C6E0}">
  <dimension ref="A1:D225"/>
  <sheetViews>
    <sheetView tabSelected="1" topLeftCell="A195" zoomScaleNormal="100" workbookViewId="0">
      <selection activeCell="A204" sqref="A204:D225"/>
    </sheetView>
  </sheetViews>
  <sheetFormatPr defaultRowHeight="15.6" x14ac:dyDescent="0.3"/>
  <cols>
    <col min="1" max="1" width="36.109375" style="7" bestFit="1" customWidth="1"/>
    <col min="2" max="2" width="9.88671875" style="5" bestFit="1" customWidth="1"/>
    <col min="3" max="3" width="29.109375" style="7" bestFit="1" customWidth="1"/>
    <col min="4" max="4" width="12.109375" style="5" bestFit="1" customWidth="1"/>
    <col min="5" max="16384" width="8.88671875" style="8"/>
  </cols>
  <sheetData>
    <row r="1" spans="1:4" ht="23.4" x14ac:dyDescent="0.3">
      <c r="A1" s="14"/>
      <c r="B1" s="15"/>
      <c r="C1" s="15"/>
      <c r="D1" s="15"/>
    </row>
    <row r="2" spans="1:4" ht="16.2" thickBot="1" x14ac:dyDescent="0.35"/>
    <row r="3" spans="1:4" ht="15" thickBot="1" x14ac:dyDescent="0.35">
      <c r="A3" s="16" t="s">
        <v>1</v>
      </c>
      <c r="B3" s="16"/>
      <c r="C3" s="16" t="s">
        <v>0</v>
      </c>
      <c r="D3" s="16"/>
    </row>
    <row r="4" spans="1:4" ht="15" thickBot="1" x14ac:dyDescent="0.35">
      <c r="A4" s="16"/>
      <c r="B4" s="16"/>
      <c r="C4" s="16"/>
      <c r="D4" s="16"/>
    </row>
    <row r="5" spans="1:4" ht="16.2" thickBot="1" x14ac:dyDescent="0.35">
      <c r="A5" s="9" t="s">
        <v>3</v>
      </c>
      <c r="B5" s="3"/>
      <c r="C5" s="9" t="s">
        <v>4</v>
      </c>
      <c r="D5" s="3"/>
    </row>
    <row r="6" spans="1:4" ht="16.2" thickBot="1" x14ac:dyDescent="0.35">
      <c r="A6" s="11" t="s">
        <v>2</v>
      </c>
      <c r="B6" s="4">
        <v>1500000</v>
      </c>
      <c r="C6" s="11" t="s">
        <v>5</v>
      </c>
      <c r="D6" s="4">
        <v>2000000</v>
      </c>
    </row>
    <row r="7" spans="1:4" ht="16.2" thickBot="1" x14ac:dyDescent="0.35">
      <c r="A7" s="10"/>
      <c r="B7" s="3"/>
      <c r="C7" s="10"/>
      <c r="D7" s="3"/>
    </row>
    <row r="8" spans="1:4" ht="16.2" thickBot="1" x14ac:dyDescent="0.35">
      <c r="A8" s="9" t="s">
        <v>10</v>
      </c>
      <c r="B8" s="3"/>
      <c r="C8" s="10"/>
      <c r="D8" s="3"/>
    </row>
    <row r="9" spans="1:4" ht="16.2" thickBot="1" x14ac:dyDescent="0.35">
      <c r="A9" s="10" t="s">
        <v>15</v>
      </c>
      <c r="B9" s="3"/>
      <c r="C9" s="10"/>
      <c r="D9" s="3"/>
    </row>
    <row r="10" spans="1:4" ht="16.2" thickBot="1" x14ac:dyDescent="0.35">
      <c r="A10" s="11" t="s">
        <v>14</v>
      </c>
      <c r="B10" s="4">
        <v>500000</v>
      </c>
      <c r="C10" s="10"/>
      <c r="D10" s="3"/>
    </row>
    <row r="11" spans="1:4" ht="16.2" thickBot="1" x14ac:dyDescent="0.35">
      <c r="A11" s="10"/>
      <c r="B11" s="3"/>
      <c r="C11" s="10"/>
      <c r="D11" s="3"/>
    </row>
    <row r="12" spans="1:4" s="1" customFormat="1" ht="16.2" thickBot="1" x14ac:dyDescent="0.35">
      <c r="A12" s="6" t="s">
        <v>6</v>
      </c>
      <c r="B12" s="2">
        <f>SUM(B5:B11)</f>
        <v>2000000</v>
      </c>
      <c r="C12" s="6" t="s">
        <v>7</v>
      </c>
      <c r="D12" s="2">
        <f>SUM(D5:D11)</f>
        <v>2000000</v>
      </c>
    </row>
    <row r="14" spans="1:4" ht="16.2" thickBot="1" x14ac:dyDescent="0.35"/>
    <row r="15" spans="1:4" ht="15" thickBot="1" x14ac:dyDescent="0.35">
      <c r="A15" s="16" t="s">
        <v>1</v>
      </c>
      <c r="B15" s="16"/>
      <c r="C15" s="16" t="s">
        <v>0</v>
      </c>
      <c r="D15" s="16"/>
    </row>
    <row r="16" spans="1:4" ht="15" thickBot="1" x14ac:dyDescent="0.35">
      <c r="A16" s="16"/>
      <c r="B16" s="16"/>
      <c r="C16" s="16"/>
      <c r="D16" s="16"/>
    </row>
    <row r="17" spans="1:4" ht="16.2" thickBot="1" x14ac:dyDescent="0.35">
      <c r="A17" s="9" t="s">
        <v>3</v>
      </c>
      <c r="B17" s="3"/>
      <c r="C17" s="9" t="s">
        <v>4</v>
      </c>
      <c r="D17" s="3"/>
    </row>
    <row r="18" spans="1:4" ht="16.2" thickBot="1" x14ac:dyDescent="0.35">
      <c r="A18" s="12" t="s">
        <v>2</v>
      </c>
      <c r="B18" s="13">
        <v>1350000</v>
      </c>
      <c r="C18" s="11" t="s">
        <v>5</v>
      </c>
      <c r="D18" s="4">
        <v>2000000</v>
      </c>
    </row>
    <row r="19" spans="1:4" ht="16.2" thickBot="1" x14ac:dyDescent="0.35">
      <c r="A19" s="10"/>
      <c r="B19" s="3"/>
      <c r="C19" s="10"/>
      <c r="D19" s="3"/>
    </row>
    <row r="20" spans="1:4" ht="16.2" thickBot="1" x14ac:dyDescent="0.35">
      <c r="A20" s="9" t="s">
        <v>10</v>
      </c>
      <c r="B20" s="3"/>
      <c r="C20" s="10"/>
      <c r="D20" s="3"/>
    </row>
    <row r="21" spans="1:4" ht="16.2" thickBot="1" x14ac:dyDescent="0.35">
      <c r="A21" s="10" t="s">
        <v>17</v>
      </c>
      <c r="B21" s="3"/>
      <c r="C21" s="10"/>
      <c r="D21" s="3"/>
    </row>
    <row r="22" spans="1:4" ht="16.2" thickBot="1" x14ac:dyDescent="0.35">
      <c r="A22" s="12" t="s">
        <v>16</v>
      </c>
      <c r="B22" s="13">
        <v>150000</v>
      </c>
      <c r="C22" s="10"/>
      <c r="D22" s="3"/>
    </row>
    <row r="23" spans="1:4" ht="16.2" thickBot="1" x14ac:dyDescent="0.35">
      <c r="A23" s="10"/>
      <c r="B23" s="3"/>
      <c r="C23" s="10"/>
      <c r="D23" s="3"/>
    </row>
    <row r="24" spans="1:4" ht="16.2" thickBot="1" x14ac:dyDescent="0.35">
      <c r="A24" s="9" t="s">
        <v>10</v>
      </c>
      <c r="B24" s="3"/>
      <c r="C24" s="10"/>
      <c r="D24" s="3"/>
    </row>
    <row r="25" spans="1:4" ht="16.2" thickBot="1" x14ac:dyDescent="0.35">
      <c r="A25" s="10" t="s">
        <v>15</v>
      </c>
      <c r="B25" s="3"/>
      <c r="C25" s="10"/>
      <c r="D25" s="3"/>
    </row>
    <row r="26" spans="1:4" ht="16.2" thickBot="1" x14ac:dyDescent="0.35">
      <c r="A26" s="11" t="s">
        <v>14</v>
      </c>
      <c r="B26" s="4">
        <v>500000</v>
      </c>
      <c r="C26" s="10"/>
      <c r="D26" s="3"/>
    </row>
    <row r="27" spans="1:4" ht="16.2" thickBot="1" x14ac:dyDescent="0.35">
      <c r="A27" s="10"/>
      <c r="B27" s="3"/>
      <c r="C27" s="10"/>
      <c r="D27" s="3"/>
    </row>
    <row r="28" spans="1:4" s="1" customFormat="1" ht="16.2" thickBot="1" x14ac:dyDescent="0.35">
      <c r="A28" s="6" t="s">
        <v>6</v>
      </c>
      <c r="B28" s="2">
        <f>SUM(B17:B27)</f>
        <v>2000000</v>
      </c>
      <c r="C28" s="6" t="s">
        <v>7</v>
      </c>
      <c r="D28" s="2">
        <f>SUM(D17:D27)</f>
        <v>2000000</v>
      </c>
    </row>
    <row r="30" spans="1:4" ht="16.2" thickBot="1" x14ac:dyDescent="0.35"/>
    <row r="31" spans="1:4" ht="15" thickBot="1" x14ac:dyDescent="0.35">
      <c r="A31" s="16" t="s">
        <v>1</v>
      </c>
      <c r="B31" s="16"/>
      <c r="C31" s="16" t="s">
        <v>0</v>
      </c>
      <c r="D31" s="16"/>
    </row>
    <row r="32" spans="1:4" ht="15" thickBot="1" x14ac:dyDescent="0.35">
      <c r="A32" s="16"/>
      <c r="B32" s="16"/>
      <c r="C32" s="16"/>
      <c r="D32" s="16"/>
    </row>
    <row r="33" spans="1:4" ht="16.2" thickBot="1" x14ac:dyDescent="0.35">
      <c r="A33" s="9" t="s">
        <v>3</v>
      </c>
      <c r="B33" s="3"/>
      <c r="C33" s="9" t="s">
        <v>4</v>
      </c>
      <c r="D33" s="3"/>
    </row>
    <row r="34" spans="1:4" ht="16.2" thickBot="1" x14ac:dyDescent="0.35">
      <c r="A34" s="11" t="s">
        <v>2</v>
      </c>
      <c r="B34" s="4">
        <v>1350000</v>
      </c>
      <c r="C34" s="11" t="s">
        <v>5</v>
      </c>
      <c r="D34" s="4">
        <v>2000000</v>
      </c>
    </row>
    <row r="35" spans="1:4" ht="16.2" thickBot="1" x14ac:dyDescent="0.35">
      <c r="A35" s="10"/>
      <c r="B35" s="3"/>
      <c r="C35" s="10"/>
      <c r="D35" s="3"/>
    </row>
    <row r="36" spans="1:4" ht="16.2" thickBot="1" x14ac:dyDescent="0.35">
      <c r="A36" s="9" t="s">
        <v>10</v>
      </c>
      <c r="B36" s="3"/>
      <c r="C36" s="9" t="s">
        <v>11</v>
      </c>
      <c r="D36" s="3"/>
    </row>
    <row r="37" spans="1:4" ht="16.2" thickBot="1" x14ac:dyDescent="0.35">
      <c r="A37" s="10" t="s">
        <v>17</v>
      </c>
      <c r="B37" s="3"/>
      <c r="C37" s="12" t="s">
        <v>19</v>
      </c>
      <c r="D37" s="13">
        <v>300000</v>
      </c>
    </row>
    <row r="38" spans="1:4" ht="16.2" thickBot="1" x14ac:dyDescent="0.35">
      <c r="A38" s="11" t="s">
        <v>16</v>
      </c>
      <c r="B38" s="4">
        <v>150000</v>
      </c>
      <c r="C38" s="10"/>
      <c r="D38" s="3"/>
    </row>
    <row r="39" spans="1:4" ht="16.2" thickBot="1" x14ac:dyDescent="0.35">
      <c r="A39" s="10"/>
      <c r="B39" s="3"/>
      <c r="C39" s="10"/>
      <c r="D39" s="3"/>
    </row>
    <row r="40" spans="1:4" ht="16.2" thickBot="1" x14ac:dyDescent="0.35">
      <c r="A40" s="9" t="s">
        <v>10</v>
      </c>
      <c r="B40" s="3"/>
      <c r="C40" s="10"/>
      <c r="D40" s="3"/>
    </row>
    <row r="41" spans="1:4" ht="16.2" thickBot="1" x14ac:dyDescent="0.35">
      <c r="A41" s="10" t="s">
        <v>15</v>
      </c>
      <c r="B41" s="3"/>
      <c r="C41" s="10"/>
      <c r="D41" s="3"/>
    </row>
    <row r="42" spans="1:4" ht="16.2" thickBot="1" x14ac:dyDescent="0.35">
      <c r="A42" s="11" t="s">
        <v>14</v>
      </c>
      <c r="B42" s="4">
        <v>500000</v>
      </c>
      <c r="C42" s="10"/>
      <c r="D42" s="3"/>
    </row>
    <row r="43" spans="1:4" ht="16.2" thickBot="1" x14ac:dyDescent="0.35">
      <c r="A43" s="12" t="s">
        <v>18</v>
      </c>
      <c r="B43" s="13">
        <v>300000</v>
      </c>
      <c r="C43" s="10"/>
      <c r="D43" s="3"/>
    </row>
    <row r="44" spans="1:4" ht="16.2" thickBot="1" x14ac:dyDescent="0.35">
      <c r="A44" s="10"/>
      <c r="B44" s="3"/>
      <c r="C44" s="10"/>
      <c r="D44" s="3"/>
    </row>
    <row r="45" spans="1:4" s="1" customFormat="1" ht="16.2" thickBot="1" x14ac:dyDescent="0.35">
      <c r="A45" s="6" t="s">
        <v>6</v>
      </c>
      <c r="B45" s="2">
        <f>SUM(B33:B44)</f>
        <v>2300000</v>
      </c>
      <c r="C45" s="6" t="s">
        <v>7</v>
      </c>
      <c r="D45" s="2">
        <f>SUM(D33:D44)</f>
        <v>2300000</v>
      </c>
    </row>
    <row r="48" spans="1:4" ht="16.2" thickBot="1" x14ac:dyDescent="0.35"/>
    <row r="49" spans="1:4" ht="15" thickBot="1" x14ac:dyDescent="0.35">
      <c r="A49" s="16" t="s">
        <v>1</v>
      </c>
      <c r="B49" s="16"/>
      <c r="C49" s="16" t="s">
        <v>0</v>
      </c>
      <c r="D49" s="16"/>
    </row>
    <row r="50" spans="1:4" ht="15" thickBot="1" x14ac:dyDescent="0.35">
      <c r="A50" s="16"/>
      <c r="B50" s="16"/>
      <c r="C50" s="16"/>
      <c r="D50" s="16"/>
    </row>
    <row r="51" spans="1:4" ht="16.2" thickBot="1" x14ac:dyDescent="0.35">
      <c r="A51" s="9" t="s">
        <v>3</v>
      </c>
      <c r="B51" s="3"/>
      <c r="C51" s="9" t="s">
        <v>4</v>
      </c>
      <c r="D51" s="3"/>
    </row>
    <row r="52" spans="1:4" ht="16.2" thickBot="1" x14ac:dyDescent="0.35">
      <c r="A52" s="12" t="s">
        <v>2</v>
      </c>
      <c r="B52" s="13">
        <v>1850000</v>
      </c>
      <c r="C52" s="11" t="s">
        <v>5</v>
      </c>
      <c r="D52" s="4">
        <v>2000000</v>
      </c>
    </row>
    <row r="53" spans="1:4" ht="16.2" thickBot="1" x14ac:dyDescent="0.35">
      <c r="A53" s="10"/>
      <c r="B53" s="3"/>
      <c r="C53" s="10"/>
      <c r="D53" s="3"/>
    </row>
    <row r="54" spans="1:4" ht="16.2" thickBot="1" x14ac:dyDescent="0.35">
      <c r="A54" s="9" t="s">
        <v>10</v>
      </c>
      <c r="B54" s="3"/>
      <c r="C54" s="9" t="s">
        <v>8</v>
      </c>
      <c r="D54" s="3"/>
    </row>
    <row r="55" spans="1:4" ht="16.2" thickBot="1" x14ac:dyDescent="0.35">
      <c r="A55" s="10" t="s">
        <v>17</v>
      </c>
      <c r="B55" s="3"/>
      <c r="C55" s="12" t="s">
        <v>9</v>
      </c>
      <c r="D55" s="13">
        <v>500000</v>
      </c>
    </row>
    <row r="56" spans="1:4" ht="16.2" thickBot="1" x14ac:dyDescent="0.35">
      <c r="A56" s="11" t="s">
        <v>16</v>
      </c>
      <c r="B56" s="4">
        <v>150000</v>
      </c>
      <c r="C56" s="10"/>
      <c r="D56" s="3"/>
    </row>
    <row r="57" spans="1:4" ht="16.2" thickBot="1" x14ac:dyDescent="0.35">
      <c r="A57" s="10"/>
      <c r="B57" s="3"/>
      <c r="C57" s="9" t="s">
        <v>11</v>
      </c>
      <c r="D57" s="3"/>
    </row>
    <row r="58" spans="1:4" ht="16.2" thickBot="1" x14ac:dyDescent="0.35">
      <c r="A58" s="9" t="s">
        <v>10</v>
      </c>
      <c r="B58" s="3"/>
      <c r="C58" s="11" t="s">
        <v>19</v>
      </c>
      <c r="D58" s="4">
        <v>300000</v>
      </c>
    </row>
    <row r="59" spans="1:4" ht="16.2" thickBot="1" x14ac:dyDescent="0.35">
      <c r="A59" s="10" t="s">
        <v>15</v>
      </c>
      <c r="B59" s="3"/>
      <c r="C59" s="10"/>
      <c r="D59" s="3"/>
    </row>
    <row r="60" spans="1:4" ht="16.2" thickBot="1" x14ac:dyDescent="0.35">
      <c r="A60" s="11" t="s">
        <v>14</v>
      </c>
      <c r="B60" s="4">
        <v>500000</v>
      </c>
      <c r="C60" s="10"/>
      <c r="D60" s="3"/>
    </row>
    <row r="61" spans="1:4" ht="16.2" thickBot="1" x14ac:dyDescent="0.35">
      <c r="A61" s="11" t="s">
        <v>18</v>
      </c>
      <c r="B61" s="4">
        <v>300000</v>
      </c>
      <c r="C61" s="10"/>
      <c r="D61" s="3"/>
    </row>
    <row r="62" spans="1:4" ht="16.2" thickBot="1" x14ac:dyDescent="0.35">
      <c r="A62" s="10"/>
      <c r="B62" s="3"/>
      <c r="C62" s="10"/>
      <c r="D62" s="3"/>
    </row>
    <row r="63" spans="1:4" s="1" customFormat="1" ht="16.2" thickBot="1" x14ac:dyDescent="0.35">
      <c r="A63" s="6" t="s">
        <v>6</v>
      </c>
      <c r="B63" s="2">
        <f>SUM(B51:B62)</f>
        <v>2800000</v>
      </c>
      <c r="C63" s="6" t="s">
        <v>7</v>
      </c>
      <c r="D63" s="2">
        <f>SUM(D51:D62)</f>
        <v>2800000</v>
      </c>
    </row>
    <row r="66" spans="1:4" ht="16.2" thickBot="1" x14ac:dyDescent="0.35"/>
    <row r="67" spans="1:4" ht="15" thickBot="1" x14ac:dyDescent="0.35">
      <c r="A67" s="16" t="s">
        <v>1</v>
      </c>
      <c r="B67" s="16"/>
      <c r="C67" s="16" t="s">
        <v>0</v>
      </c>
      <c r="D67" s="16"/>
    </row>
    <row r="68" spans="1:4" ht="15" thickBot="1" x14ac:dyDescent="0.35">
      <c r="A68" s="16"/>
      <c r="B68" s="16"/>
      <c r="C68" s="16"/>
      <c r="D68" s="16"/>
    </row>
    <row r="69" spans="1:4" ht="16.2" thickBot="1" x14ac:dyDescent="0.35">
      <c r="A69" s="9" t="s">
        <v>3</v>
      </c>
      <c r="B69" s="3"/>
      <c r="C69" s="9" t="s">
        <v>4</v>
      </c>
      <c r="D69" s="3"/>
    </row>
    <row r="70" spans="1:4" ht="16.2" thickBot="1" x14ac:dyDescent="0.35">
      <c r="A70" s="11" t="s">
        <v>2</v>
      </c>
      <c r="B70" s="4">
        <v>1850000</v>
      </c>
      <c r="C70" s="11" t="s">
        <v>5</v>
      </c>
      <c r="D70" s="4">
        <v>2000000</v>
      </c>
    </row>
    <row r="71" spans="1:4" ht="16.2" thickBot="1" x14ac:dyDescent="0.35">
      <c r="A71" s="10"/>
      <c r="B71" s="3"/>
      <c r="C71" s="10"/>
      <c r="D71" s="3"/>
    </row>
    <row r="72" spans="1:4" ht="16.2" thickBot="1" x14ac:dyDescent="0.35">
      <c r="A72" s="9" t="s">
        <v>10</v>
      </c>
      <c r="B72" s="3"/>
      <c r="C72" s="9" t="s">
        <v>8</v>
      </c>
      <c r="D72" s="3"/>
    </row>
    <row r="73" spans="1:4" ht="16.2" thickBot="1" x14ac:dyDescent="0.35">
      <c r="A73" s="10" t="s">
        <v>17</v>
      </c>
      <c r="B73" s="3"/>
      <c r="C73" s="11" t="s">
        <v>9</v>
      </c>
      <c r="D73" s="4">
        <v>500000</v>
      </c>
    </row>
    <row r="74" spans="1:4" ht="16.2" thickBot="1" x14ac:dyDescent="0.35">
      <c r="A74" s="11" t="s">
        <v>16</v>
      </c>
      <c r="B74" s="4">
        <v>150000</v>
      </c>
      <c r="C74" s="10"/>
      <c r="D74" s="3"/>
    </row>
    <row r="75" spans="1:4" ht="16.2" thickBot="1" x14ac:dyDescent="0.35">
      <c r="A75" s="10"/>
      <c r="B75" s="3"/>
      <c r="C75" s="9" t="s">
        <v>11</v>
      </c>
      <c r="D75" s="3"/>
    </row>
    <row r="76" spans="1:4" ht="16.2" thickBot="1" x14ac:dyDescent="0.35">
      <c r="A76" s="9" t="s">
        <v>10</v>
      </c>
      <c r="B76" s="3"/>
      <c r="C76" s="11" t="s">
        <v>19</v>
      </c>
      <c r="D76" s="4">
        <v>300000</v>
      </c>
    </row>
    <row r="77" spans="1:4" ht="16.2" thickBot="1" x14ac:dyDescent="0.35">
      <c r="A77" s="10" t="s">
        <v>15</v>
      </c>
      <c r="B77" s="3"/>
      <c r="C77" s="12" t="s">
        <v>20</v>
      </c>
      <c r="D77" s="13">
        <v>150000</v>
      </c>
    </row>
    <row r="78" spans="1:4" ht="16.2" thickBot="1" x14ac:dyDescent="0.35">
      <c r="A78" s="11" t="s">
        <v>14</v>
      </c>
      <c r="B78" s="4">
        <v>500000</v>
      </c>
      <c r="C78" s="10"/>
      <c r="D78" s="3"/>
    </row>
    <row r="79" spans="1:4" ht="16.2" thickBot="1" x14ac:dyDescent="0.35">
      <c r="A79" s="11" t="s">
        <v>18</v>
      </c>
      <c r="B79" s="4">
        <v>300000</v>
      </c>
      <c r="C79" s="10"/>
      <c r="D79" s="3"/>
    </row>
    <row r="80" spans="1:4" ht="16.2" thickBot="1" x14ac:dyDescent="0.35">
      <c r="A80" s="10"/>
      <c r="B80" s="3"/>
      <c r="C80" s="10"/>
      <c r="D80" s="3"/>
    </row>
    <row r="81" spans="1:4" ht="16.2" thickBot="1" x14ac:dyDescent="0.35">
      <c r="A81" s="9" t="s">
        <v>12</v>
      </c>
      <c r="B81" s="3"/>
      <c r="C81" s="11"/>
      <c r="D81" s="4"/>
    </row>
    <row r="82" spans="1:4" ht="16.2" thickBot="1" x14ac:dyDescent="0.35">
      <c r="A82" s="12" t="s">
        <v>21</v>
      </c>
      <c r="B82" s="13">
        <v>150000</v>
      </c>
      <c r="C82" s="11"/>
      <c r="D82" s="4"/>
    </row>
    <row r="83" spans="1:4" ht="16.2" thickBot="1" x14ac:dyDescent="0.35">
      <c r="A83" s="11"/>
      <c r="B83" s="4"/>
      <c r="C83" s="11"/>
      <c r="D83" s="4"/>
    </row>
    <row r="84" spans="1:4" s="1" customFormat="1" ht="16.2" thickBot="1" x14ac:dyDescent="0.35">
      <c r="A84" s="6" t="s">
        <v>6</v>
      </c>
      <c r="B84" s="2">
        <f>SUM(B69:B83)</f>
        <v>2950000</v>
      </c>
      <c r="C84" s="6" t="s">
        <v>7</v>
      </c>
      <c r="D84" s="2">
        <f>SUM(D69:D83)</f>
        <v>2950000</v>
      </c>
    </row>
    <row r="86" spans="1:4" ht="16.2" thickBot="1" x14ac:dyDescent="0.35"/>
    <row r="87" spans="1:4" ht="15" thickBot="1" x14ac:dyDescent="0.35">
      <c r="A87" s="16" t="s">
        <v>1</v>
      </c>
      <c r="B87" s="16"/>
      <c r="C87" s="16" t="s">
        <v>0</v>
      </c>
      <c r="D87" s="16"/>
    </row>
    <row r="88" spans="1:4" ht="15" thickBot="1" x14ac:dyDescent="0.35">
      <c r="A88" s="16"/>
      <c r="B88" s="16"/>
      <c r="C88" s="16"/>
      <c r="D88" s="16"/>
    </row>
    <row r="89" spans="1:4" ht="16.2" thickBot="1" x14ac:dyDescent="0.35">
      <c r="A89" s="9" t="s">
        <v>3</v>
      </c>
      <c r="B89" s="3"/>
      <c r="C89" s="9" t="s">
        <v>4</v>
      </c>
      <c r="D89" s="3"/>
    </row>
    <row r="90" spans="1:4" ht="16.2" thickBot="1" x14ac:dyDescent="0.35">
      <c r="A90" s="12" t="s">
        <v>2</v>
      </c>
      <c r="B90" s="13">
        <v>1750000</v>
      </c>
      <c r="C90" s="11" t="s">
        <v>5</v>
      </c>
      <c r="D90" s="4">
        <v>2000000</v>
      </c>
    </row>
    <row r="91" spans="1:4" ht="16.2" thickBot="1" x14ac:dyDescent="0.35">
      <c r="A91" s="10"/>
      <c r="B91" s="3"/>
      <c r="C91" s="10"/>
      <c r="D91" s="3"/>
    </row>
    <row r="92" spans="1:4" ht="16.2" thickBot="1" x14ac:dyDescent="0.35">
      <c r="A92" s="9" t="s">
        <v>10</v>
      </c>
      <c r="B92" s="3"/>
      <c r="C92" s="9" t="s">
        <v>8</v>
      </c>
      <c r="D92" s="3"/>
    </row>
    <row r="93" spans="1:4" ht="16.2" thickBot="1" x14ac:dyDescent="0.35">
      <c r="A93" s="10" t="s">
        <v>17</v>
      </c>
      <c r="B93" s="3"/>
      <c r="C93" s="11" t="s">
        <v>9</v>
      </c>
      <c r="D93" s="4">
        <v>500000</v>
      </c>
    </row>
    <row r="94" spans="1:4" ht="16.2" thickBot="1" x14ac:dyDescent="0.35">
      <c r="A94" s="11" t="s">
        <v>16</v>
      </c>
      <c r="B94" s="4">
        <v>150000</v>
      </c>
      <c r="C94" s="10"/>
      <c r="D94" s="3"/>
    </row>
    <row r="95" spans="1:4" ht="16.2" thickBot="1" x14ac:dyDescent="0.35">
      <c r="A95" s="10"/>
      <c r="B95" s="3"/>
      <c r="C95" s="9" t="s">
        <v>11</v>
      </c>
      <c r="D95" s="3"/>
    </row>
    <row r="96" spans="1:4" ht="16.2" thickBot="1" x14ac:dyDescent="0.35">
      <c r="A96" s="9" t="s">
        <v>10</v>
      </c>
      <c r="B96" s="3"/>
      <c r="C96" s="11" t="s">
        <v>19</v>
      </c>
      <c r="D96" s="4">
        <v>300000</v>
      </c>
    </row>
    <row r="97" spans="1:4" ht="16.2" thickBot="1" x14ac:dyDescent="0.35">
      <c r="A97" s="10" t="s">
        <v>15</v>
      </c>
      <c r="B97" s="3"/>
      <c r="C97" s="11" t="s">
        <v>20</v>
      </c>
      <c r="D97" s="4">
        <v>150000</v>
      </c>
    </row>
    <row r="98" spans="1:4" ht="16.2" thickBot="1" x14ac:dyDescent="0.35">
      <c r="A98" s="11" t="s">
        <v>14</v>
      </c>
      <c r="B98" s="4">
        <v>500000</v>
      </c>
      <c r="C98" s="10"/>
      <c r="D98" s="3"/>
    </row>
    <row r="99" spans="1:4" ht="16.2" thickBot="1" x14ac:dyDescent="0.35">
      <c r="A99" s="11" t="s">
        <v>18</v>
      </c>
      <c r="B99" s="4">
        <v>300000</v>
      </c>
      <c r="C99" s="10"/>
      <c r="D99" s="3"/>
    </row>
    <row r="100" spans="1:4" ht="16.2" thickBot="1" x14ac:dyDescent="0.35">
      <c r="A100" s="10"/>
      <c r="B100" s="3"/>
      <c r="C100" s="10"/>
      <c r="D100" s="3"/>
    </row>
    <row r="101" spans="1:4" ht="16.2" thickBot="1" x14ac:dyDescent="0.35">
      <c r="A101" s="9" t="s">
        <v>12</v>
      </c>
      <c r="B101" s="3"/>
      <c r="C101" s="11"/>
      <c r="D101" s="4"/>
    </row>
    <row r="102" spans="1:4" ht="16.2" thickBot="1" x14ac:dyDescent="0.35">
      <c r="A102" s="11" t="s">
        <v>21</v>
      </c>
      <c r="B102" s="4">
        <v>150000</v>
      </c>
      <c r="C102" s="11"/>
      <c r="D102" s="4"/>
    </row>
    <row r="103" spans="1:4" ht="16.2" thickBot="1" x14ac:dyDescent="0.35">
      <c r="A103" s="12" t="s">
        <v>22</v>
      </c>
      <c r="B103" s="13">
        <v>100000</v>
      </c>
      <c r="C103" s="11"/>
      <c r="D103" s="4"/>
    </row>
    <row r="104" spans="1:4" ht="16.2" thickBot="1" x14ac:dyDescent="0.35">
      <c r="A104" s="11"/>
      <c r="B104" s="4"/>
      <c r="C104" s="11"/>
      <c r="D104" s="4"/>
    </row>
    <row r="105" spans="1:4" s="1" customFormat="1" ht="16.2" thickBot="1" x14ac:dyDescent="0.35">
      <c r="A105" s="6" t="s">
        <v>6</v>
      </c>
      <c r="B105" s="2">
        <f>SUM(B89:B103)</f>
        <v>2950000</v>
      </c>
      <c r="C105" s="6" t="s">
        <v>7</v>
      </c>
      <c r="D105" s="2">
        <f>SUM(D89:D103)</f>
        <v>2950000</v>
      </c>
    </row>
    <row r="107" spans="1:4" ht="16.2" thickBot="1" x14ac:dyDescent="0.35"/>
    <row r="108" spans="1:4" ht="15" thickBot="1" x14ac:dyDescent="0.35">
      <c r="A108" s="16" t="s">
        <v>1</v>
      </c>
      <c r="B108" s="16"/>
      <c r="C108" s="16" t="s">
        <v>0</v>
      </c>
      <c r="D108" s="16"/>
    </row>
    <row r="109" spans="1:4" ht="15" thickBot="1" x14ac:dyDescent="0.35">
      <c r="A109" s="16"/>
      <c r="B109" s="16"/>
      <c r="C109" s="16"/>
      <c r="D109" s="16"/>
    </row>
    <row r="110" spans="1:4" ht="16.2" thickBot="1" x14ac:dyDescent="0.35">
      <c r="A110" s="9" t="s">
        <v>3</v>
      </c>
      <c r="B110" s="3"/>
      <c r="C110" s="9" t="s">
        <v>4</v>
      </c>
      <c r="D110" s="3"/>
    </row>
    <row r="111" spans="1:4" ht="16.2" thickBot="1" x14ac:dyDescent="0.35">
      <c r="A111" s="12" t="s">
        <v>2</v>
      </c>
      <c r="B111" s="13">
        <v>1700000</v>
      </c>
      <c r="C111" s="11" t="s">
        <v>5</v>
      </c>
      <c r="D111" s="4">
        <v>2000000</v>
      </c>
    </row>
    <row r="112" spans="1:4" ht="16.2" thickBot="1" x14ac:dyDescent="0.35">
      <c r="A112" s="10"/>
      <c r="B112" s="3"/>
      <c r="C112" s="10"/>
      <c r="D112" s="3"/>
    </row>
    <row r="113" spans="1:4" ht="16.2" thickBot="1" x14ac:dyDescent="0.35">
      <c r="A113" s="9" t="s">
        <v>10</v>
      </c>
      <c r="B113" s="3"/>
      <c r="C113" s="9" t="s">
        <v>8</v>
      </c>
      <c r="D113" s="3"/>
    </row>
    <row r="114" spans="1:4" ht="16.2" thickBot="1" x14ac:dyDescent="0.35">
      <c r="A114" s="10" t="s">
        <v>17</v>
      </c>
      <c r="B114" s="3"/>
      <c r="C114" s="11" t="s">
        <v>9</v>
      </c>
      <c r="D114" s="4">
        <v>500000</v>
      </c>
    </row>
    <row r="115" spans="1:4" ht="16.2" thickBot="1" x14ac:dyDescent="0.35">
      <c r="A115" s="11" t="s">
        <v>16</v>
      </c>
      <c r="B115" s="4">
        <v>150000</v>
      </c>
      <c r="C115" s="10"/>
      <c r="D115" s="3"/>
    </row>
    <row r="116" spans="1:4" ht="16.2" thickBot="1" x14ac:dyDescent="0.35">
      <c r="A116" s="10"/>
      <c r="B116" s="3"/>
      <c r="C116" s="9" t="s">
        <v>11</v>
      </c>
      <c r="D116" s="3"/>
    </row>
    <row r="117" spans="1:4" ht="16.2" thickBot="1" x14ac:dyDescent="0.35">
      <c r="A117" s="9" t="s">
        <v>10</v>
      </c>
      <c r="B117" s="3"/>
      <c r="C117" s="11" t="s">
        <v>19</v>
      </c>
      <c r="D117" s="4">
        <v>300000</v>
      </c>
    </row>
    <row r="118" spans="1:4" ht="16.2" thickBot="1" x14ac:dyDescent="0.35">
      <c r="A118" s="10" t="s">
        <v>15</v>
      </c>
      <c r="B118" s="3"/>
      <c r="C118" s="11" t="s">
        <v>20</v>
      </c>
      <c r="D118" s="4">
        <v>150000</v>
      </c>
    </row>
    <row r="119" spans="1:4" ht="16.2" thickBot="1" x14ac:dyDescent="0.35">
      <c r="A119" s="11" t="s">
        <v>14</v>
      </c>
      <c r="B119" s="4">
        <v>500000</v>
      </c>
      <c r="C119" s="10"/>
      <c r="D119" s="3"/>
    </row>
    <row r="120" spans="1:4" ht="16.2" thickBot="1" x14ac:dyDescent="0.35">
      <c r="A120" s="11" t="s">
        <v>18</v>
      </c>
      <c r="B120" s="4">
        <v>300000</v>
      </c>
      <c r="C120" s="10"/>
      <c r="D120" s="3"/>
    </row>
    <row r="121" spans="1:4" ht="16.2" thickBot="1" x14ac:dyDescent="0.35">
      <c r="A121" s="10"/>
      <c r="B121" s="3"/>
      <c r="C121" s="10"/>
      <c r="D121" s="3"/>
    </row>
    <row r="122" spans="1:4" ht="16.2" thickBot="1" x14ac:dyDescent="0.35">
      <c r="A122" s="9" t="s">
        <v>12</v>
      </c>
      <c r="B122" s="3"/>
      <c r="C122" s="11"/>
      <c r="D122" s="4"/>
    </row>
    <row r="123" spans="1:4" ht="16.2" thickBot="1" x14ac:dyDescent="0.35">
      <c r="A123" s="11" t="s">
        <v>21</v>
      </c>
      <c r="B123" s="4">
        <v>150000</v>
      </c>
      <c r="C123" s="11"/>
      <c r="D123" s="4"/>
    </row>
    <row r="124" spans="1:4" ht="16.2" thickBot="1" x14ac:dyDescent="0.35">
      <c r="A124" s="11" t="s">
        <v>22</v>
      </c>
      <c r="B124" s="4">
        <v>100000</v>
      </c>
      <c r="C124" s="11"/>
      <c r="D124" s="4"/>
    </row>
    <row r="125" spans="1:4" ht="16.2" thickBot="1" x14ac:dyDescent="0.35">
      <c r="A125" s="12" t="s">
        <v>27</v>
      </c>
      <c r="B125" s="13">
        <v>50000</v>
      </c>
      <c r="C125" s="11"/>
      <c r="D125" s="4"/>
    </row>
    <row r="126" spans="1:4" ht="16.2" thickBot="1" x14ac:dyDescent="0.35">
      <c r="A126" s="11"/>
      <c r="B126" s="4"/>
      <c r="C126" s="11"/>
      <c r="D126" s="4"/>
    </row>
    <row r="127" spans="1:4" s="1" customFormat="1" ht="16.2" thickBot="1" x14ac:dyDescent="0.35">
      <c r="A127" s="6" t="s">
        <v>6</v>
      </c>
      <c r="B127" s="2">
        <f>SUM(B110:B125)</f>
        <v>2950000</v>
      </c>
      <c r="C127" s="6" t="s">
        <v>7</v>
      </c>
      <c r="D127" s="2">
        <f>SUM(D110:D124)</f>
        <v>2950000</v>
      </c>
    </row>
    <row r="130" spans="1:4" ht="16.2" thickBot="1" x14ac:dyDescent="0.35"/>
    <row r="131" spans="1:4" ht="15" thickBot="1" x14ac:dyDescent="0.35">
      <c r="A131" s="16" t="s">
        <v>1</v>
      </c>
      <c r="B131" s="16"/>
      <c r="C131" s="16" t="s">
        <v>0</v>
      </c>
      <c r="D131" s="16"/>
    </row>
    <row r="132" spans="1:4" ht="15" thickBot="1" x14ac:dyDescent="0.35">
      <c r="A132" s="16"/>
      <c r="B132" s="16"/>
      <c r="C132" s="16"/>
      <c r="D132" s="16"/>
    </row>
    <row r="133" spans="1:4" ht="16.2" thickBot="1" x14ac:dyDescent="0.35">
      <c r="A133" s="9" t="s">
        <v>3</v>
      </c>
      <c r="B133" s="3"/>
      <c r="C133" s="9" t="s">
        <v>4</v>
      </c>
      <c r="D133" s="3"/>
    </row>
    <row r="134" spans="1:4" ht="16.2" thickBot="1" x14ac:dyDescent="0.35">
      <c r="A134" s="12" t="s">
        <v>2</v>
      </c>
      <c r="B134" s="13">
        <v>1550000</v>
      </c>
      <c r="C134" s="11" t="s">
        <v>5</v>
      </c>
      <c r="D134" s="4">
        <v>2000000</v>
      </c>
    </row>
    <row r="135" spans="1:4" ht="16.2" thickBot="1" x14ac:dyDescent="0.35">
      <c r="A135" s="10"/>
      <c r="B135" s="3"/>
      <c r="C135" s="10"/>
      <c r="D135" s="3"/>
    </row>
    <row r="136" spans="1:4" ht="16.2" thickBot="1" x14ac:dyDescent="0.35">
      <c r="A136" s="9" t="s">
        <v>10</v>
      </c>
      <c r="B136" s="3"/>
      <c r="C136" s="9" t="s">
        <v>8</v>
      </c>
      <c r="D136" s="3"/>
    </row>
    <row r="137" spans="1:4" ht="16.2" thickBot="1" x14ac:dyDescent="0.35">
      <c r="A137" s="10" t="s">
        <v>17</v>
      </c>
      <c r="B137" s="3"/>
      <c r="C137" s="11" t="s">
        <v>9</v>
      </c>
      <c r="D137" s="4">
        <v>500000</v>
      </c>
    </row>
    <row r="138" spans="1:4" ht="16.2" thickBot="1" x14ac:dyDescent="0.35">
      <c r="A138" s="11" t="s">
        <v>16</v>
      </c>
      <c r="B138" s="4">
        <v>150000</v>
      </c>
      <c r="C138" s="10"/>
      <c r="D138" s="3"/>
    </row>
    <row r="139" spans="1:4" ht="16.2" thickBot="1" x14ac:dyDescent="0.35">
      <c r="A139" s="10"/>
      <c r="B139" s="3"/>
      <c r="C139" s="9" t="s">
        <v>11</v>
      </c>
      <c r="D139" s="3"/>
    </row>
    <row r="140" spans="1:4" ht="16.2" thickBot="1" x14ac:dyDescent="0.35">
      <c r="A140" s="9" t="s">
        <v>10</v>
      </c>
      <c r="B140" s="3"/>
      <c r="C140" s="11" t="s">
        <v>19</v>
      </c>
      <c r="D140" s="4">
        <v>300000</v>
      </c>
    </row>
    <row r="141" spans="1:4" ht="16.2" thickBot="1" x14ac:dyDescent="0.35">
      <c r="A141" s="10" t="s">
        <v>15</v>
      </c>
      <c r="B141" s="3"/>
      <c r="C141" s="12"/>
      <c r="D141" s="13"/>
    </row>
    <row r="142" spans="1:4" ht="16.2" thickBot="1" x14ac:dyDescent="0.35">
      <c r="A142" s="11" t="s">
        <v>14</v>
      </c>
      <c r="B142" s="4">
        <v>500000</v>
      </c>
      <c r="C142" s="10"/>
      <c r="D142" s="3"/>
    </row>
    <row r="143" spans="1:4" ht="16.2" thickBot="1" x14ac:dyDescent="0.35">
      <c r="A143" s="11" t="s">
        <v>18</v>
      </c>
      <c r="B143" s="4">
        <v>300000</v>
      </c>
      <c r="C143" s="10"/>
      <c r="D143" s="3"/>
    </row>
    <row r="144" spans="1:4" ht="16.2" thickBot="1" x14ac:dyDescent="0.35">
      <c r="A144" s="10"/>
      <c r="B144" s="3"/>
      <c r="C144" s="10"/>
      <c r="D144" s="3"/>
    </row>
    <row r="145" spans="1:4" ht="16.2" thickBot="1" x14ac:dyDescent="0.35">
      <c r="A145" s="9" t="s">
        <v>12</v>
      </c>
      <c r="B145" s="3"/>
      <c r="C145" s="11"/>
      <c r="D145" s="4"/>
    </row>
    <row r="146" spans="1:4" ht="16.2" thickBot="1" x14ac:dyDescent="0.35">
      <c r="A146" s="11" t="s">
        <v>21</v>
      </c>
      <c r="B146" s="4">
        <v>150000</v>
      </c>
      <c r="C146" s="11"/>
      <c r="D146" s="4"/>
    </row>
    <row r="147" spans="1:4" ht="16.2" thickBot="1" x14ac:dyDescent="0.35">
      <c r="A147" s="11" t="s">
        <v>22</v>
      </c>
      <c r="B147" s="4">
        <v>100000</v>
      </c>
      <c r="C147" s="11"/>
      <c r="D147" s="4"/>
    </row>
    <row r="148" spans="1:4" ht="16.2" thickBot="1" x14ac:dyDescent="0.35">
      <c r="A148" s="11" t="s">
        <v>27</v>
      </c>
      <c r="B148" s="4">
        <v>50000</v>
      </c>
      <c r="C148" s="11"/>
      <c r="D148" s="4"/>
    </row>
    <row r="149" spans="1:4" ht="16.2" thickBot="1" x14ac:dyDescent="0.35">
      <c r="A149" s="11"/>
      <c r="B149" s="4"/>
      <c r="C149" s="11"/>
      <c r="D149" s="4"/>
    </row>
    <row r="150" spans="1:4" s="1" customFormat="1" ht="16.2" thickBot="1" x14ac:dyDescent="0.35">
      <c r="A150" s="6" t="s">
        <v>6</v>
      </c>
      <c r="B150" s="2">
        <f>SUM(B133:B148)</f>
        <v>2800000</v>
      </c>
      <c r="C150" s="6" t="s">
        <v>7</v>
      </c>
      <c r="D150" s="2">
        <f>SUM(D133:D147)</f>
        <v>2800000</v>
      </c>
    </row>
    <row r="153" spans="1:4" ht="16.2" thickBot="1" x14ac:dyDescent="0.35"/>
    <row r="154" spans="1:4" ht="15" thickBot="1" x14ac:dyDescent="0.35">
      <c r="A154" s="16" t="s">
        <v>1</v>
      </c>
      <c r="B154" s="16"/>
      <c r="C154" s="16" t="s">
        <v>0</v>
      </c>
      <c r="D154" s="16"/>
    </row>
    <row r="155" spans="1:4" ht="15" thickBot="1" x14ac:dyDescent="0.35">
      <c r="A155" s="16"/>
      <c r="B155" s="16"/>
      <c r="C155" s="16"/>
      <c r="D155" s="16"/>
    </row>
    <row r="156" spans="1:4" ht="16.2" thickBot="1" x14ac:dyDescent="0.35">
      <c r="A156" s="9" t="s">
        <v>3</v>
      </c>
      <c r="B156" s="3"/>
      <c r="C156" s="9" t="s">
        <v>4</v>
      </c>
      <c r="D156" s="3"/>
    </row>
    <row r="157" spans="1:4" ht="16.2" thickBot="1" x14ac:dyDescent="0.35">
      <c r="A157" s="12" t="s">
        <v>2</v>
      </c>
      <c r="B157" s="13">
        <v>1530000</v>
      </c>
      <c r="C157" s="11" t="s">
        <v>5</v>
      </c>
      <c r="D157" s="4">
        <v>2000000</v>
      </c>
    </row>
    <row r="158" spans="1:4" ht="16.2" thickBot="1" x14ac:dyDescent="0.35">
      <c r="A158" s="10"/>
      <c r="B158" s="3"/>
      <c r="C158" s="10"/>
      <c r="D158" s="3"/>
    </row>
    <row r="159" spans="1:4" ht="16.2" thickBot="1" x14ac:dyDescent="0.35">
      <c r="A159" s="9" t="s">
        <v>10</v>
      </c>
      <c r="B159" s="3"/>
      <c r="C159" s="9" t="s">
        <v>8</v>
      </c>
      <c r="D159" s="3"/>
    </row>
    <row r="160" spans="1:4" ht="16.2" thickBot="1" x14ac:dyDescent="0.35">
      <c r="A160" s="10" t="s">
        <v>17</v>
      </c>
      <c r="B160" s="3"/>
      <c r="C160" s="12" t="s">
        <v>9</v>
      </c>
      <c r="D160" s="13">
        <v>495000</v>
      </c>
    </row>
    <row r="161" spans="1:4" ht="16.2" thickBot="1" x14ac:dyDescent="0.35">
      <c r="A161" s="11" t="s">
        <v>16</v>
      </c>
      <c r="B161" s="4">
        <v>150000</v>
      </c>
      <c r="C161" s="10"/>
      <c r="D161" s="3"/>
    </row>
    <row r="162" spans="1:4" ht="16.2" thickBot="1" x14ac:dyDescent="0.35">
      <c r="A162" s="10"/>
      <c r="B162" s="3"/>
      <c r="C162" s="9" t="s">
        <v>11</v>
      </c>
      <c r="D162" s="3"/>
    </row>
    <row r="163" spans="1:4" ht="16.2" thickBot="1" x14ac:dyDescent="0.35">
      <c r="A163" s="9" t="s">
        <v>10</v>
      </c>
      <c r="B163" s="3"/>
      <c r="C163" s="11" t="s">
        <v>19</v>
      </c>
      <c r="D163" s="4">
        <v>300000</v>
      </c>
    </row>
    <row r="164" spans="1:4" ht="16.2" thickBot="1" x14ac:dyDescent="0.35">
      <c r="A164" s="10" t="s">
        <v>15</v>
      </c>
      <c r="B164" s="3"/>
      <c r="C164" s="11"/>
      <c r="D164" s="4"/>
    </row>
    <row r="165" spans="1:4" ht="16.2" thickBot="1" x14ac:dyDescent="0.35">
      <c r="A165" s="11" t="s">
        <v>14</v>
      </c>
      <c r="B165" s="4">
        <v>500000</v>
      </c>
      <c r="C165" s="10"/>
      <c r="D165" s="3"/>
    </row>
    <row r="166" spans="1:4" ht="16.2" thickBot="1" x14ac:dyDescent="0.35">
      <c r="A166" s="11" t="s">
        <v>18</v>
      </c>
      <c r="B166" s="4">
        <v>300000</v>
      </c>
      <c r="C166" s="10"/>
      <c r="D166" s="3"/>
    </row>
    <row r="167" spans="1:4" ht="16.2" thickBot="1" x14ac:dyDescent="0.35">
      <c r="A167" s="10"/>
      <c r="B167" s="3"/>
      <c r="C167" s="10"/>
      <c r="D167" s="3"/>
    </row>
    <row r="168" spans="1:4" ht="16.2" thickBot="1" x14ac:dyDescent="0.35">
      <c r="A168" s="9" t="s">
        <v>12</v>
      </c>
      <c r="B168" s="3"/>
      <c r="C168" s="11"/>
      <c r="D168" s="4"/>
    </row>
    <row r="169" spans="1:4" ht="16.2" thickBot="1" x14ac:dyDescent="0.35">
      <c r="A169" s="11" t="s">
        <v>21</v>
      </c>
      <c r="B169" s="4">
        <v>150000</v>
      </c>
      <c r="C169" s="11"/>
      <c r="D169" s="4"/>
    </row>
    <row r="170" spans="1:4" ht="16.2" thickBot="1" x14ac:dyDescent="0.35">
      <c r="A170" s="11" t="s">
        <v>22</v>
      </c>
      <c r="B170" s="4">
        <v>100000</v>
      </c>
      <c r="C170" s="11"/>
      <c r="D170" s="4"/>
    </row>
    <row r="171" spans="1:4" ht="16.2" thickBot="1" x14ac:dyDescent="0.35">
      <c r="A171" s="11" t="s">
        <v>27</v>
      </c>
      <c r="B171" s="4">
        <v>50000</v>
      </c>
      <c r="C171" s="11"/>
      <c r="D171" s="4"/>
    </row>
    <row r="172" spans="1:4" ht="16.2" thickBot="1" x14ac:dyDescent="0.35">
      <c r="A172" s="12" t="s">
        <v>13</v>
      </c>
      <c r="B172" s="13">
        <v>15000</v>
      </c>
      <c r="C172" s="11"/>
      <c r="D172" s="4"/>
    </row>
    <row r="173" spans="1:4" ht="16.2" thickBot="1" x14ac:dyDescent="0.35">
      <c r="A173" s="11"/>
      <c r="B173" s="4"/>
      <c r="C173" s="11"/>
      <c r="D173" s="4"/>
    </row>
    <row r="174" spans="1:4" s="1" customFormat="1" ht="16.2" thickBot="1" x14ac:dyDescent="0.35">
      <c r="A174" s="6" t="s">
        <v>6</v>
      </c>
      <c r="B174" s="2">
        <f>SUM(B156:B172)</f>
        <v>2795000</v>
      </c>
      <c r="C174" s="6" t="s">
        <v>7</v>
      </c>
      <c r="D174" s="2">
        <f>SUM(D156:D170)</f>
        <v>2795000</v>
      </c>
    </row>
    <row r="177" spans="1:4" ht="16.2" thickBot="1" x14ac:dyDescent="0.35"/>
    <row r="178" spans="1:4" ht="15" thickBot="1" x14ac:dyDescent="0.35">
      <c r="A178" s="16" t="s">
        <v>1</v>
      </c>
      <c r="B178" s="16"/>
      <c r="C178" s="16" t="s">
        <v>0</v>
      </c>
      <c r="D178" s="16"/>
    </row>
    <row r="179" spans="1:4" ht="15" thickBot="1" x14ac:dyDescent="0.35">
      <c r="A179" s="16"/>
      <c r="B179" s="16"/>
      <c r="C179" s="16"/>
      <c r="D179" s="16"/>
    </row>
    <row r="180" spans="1:4" ht="16.2" thickBot="1" x14ac:dyDescent="0.35">
      <c r="A180" s="9" t="s">
        <v>3</v>
      </c>
      <c r="B180" s="3"/>
      <c r="C180" s="9" t="s">
        <v>4</v>
      </c>
      <c r="D180" s="3"/>
    </row>
    <row r="181" spans="1:4" ht="16.2" thickBot="1" x14ac:dyDescent="0.35">
      <c r="A181" s="12" t="s">
        <v>2</v>
      </c>
      <c r="B181" s="13">
        <v>1430000</v>
      </c>
      <c r="C181" s="11" t="s">
        <v>5</v>
      </c>
      <c r="D181" s="4">
        <v>2000000</v>
      </c>
    </row>
    <row r="182" spans="1:4" ht="16.2" thickBot="1" x14ac:dyDescent="0.35">
      <c r="A182" s="10"/>
      <c r="B182" s="3"/>
      <c r="C182" s="10"/>
      <c r="D182" s="3"/>
    </row>
    <row r="183" spans="1:4" ht="16.2" thickBot="1" x14ac:dyDescent="0.35">
      <c r="A183" s="9" t="s">
        <v>10</v>
      </c>
      <c r="B183" s="3"/>
      <c r="C183" s="9" t="s">
        <v>8</v>
      </c>
      <c r="D183" s="3"/>
    </row>
    <row r="184" spans="1:4" ht="16.2" thickBot="1" x14ac:dyDescent="0.35">
      <c r="A184" s="10" t="s">
        <v>17</v>
      </c>
      <c r="B184" s="3"/>
      <c r="C184" s="11" t="s">
        <v>9</v>
      </c>
      <c r="D184" s="4">
        <v>495000</v>
      </c>
    </row>
    <row r="185" spans="1:4" ht="16.2" thickBot="1" x14ac:dyDescent="0.35">
      <c r="A185" s="11" t="s">
        <v>16</v>
      </c>
      <c r="B185" s="4">
        <v>150000</v>
      </c>
      <c r="C185" s="10"/>
      <c r="D185" s="3"/>
    </row>
    <row r="186" spans="1:4" ht="16.2" thickBot="1" x14ac:dyDescent="0.35">
      <c r="A186" s="10"/>
      <c r="B186" s="3"/>
      <c r="C186" s="9" t="s">
        <v>11</v>
      </c>
      <c r="D186" s="3"/>
    </row>
    <row r="187" spans="1:4" ht="16.2" thickBot="1" x14ac:dyDescent="0.35">
      <c r="A187" s="9" t="s">
        <v>10</v>
      </c>
      <c r="B187" s="3"/>
      <c r="C187" s="11" t="s">
        <v>19</v>
      </c>
      <c r="D187" s="4">
        <v>300000</v>
      </c>
    </row>
    <row r="188" spans="1:4" ht="16.2" thickBot="1" x14ac:dyDescent="0.35">
      <c r="A188" s="10" t="s">
        <v>15</v>
      </c>
      <c r="B188" s="3"/>
      <c r="C188" s="11"/>
      <c r="D188" s="4"/>
    </row>
    <row r="189" spans="1:4" ht="16.2" thickBot="1" x14ac:dyDescent="0.35">
      <c r="A189" s="11" t="s">
        <v>14</v>
      </c>
      <c r="B189" s="4">
        <v>500000</v>
      </c>
      <c r="C189" s="10"/>
      <c r="D189" s="3"/>
    </row>
    <row r="190" spans="1:4" ht="16.2" thickBot="1" x14ac:dyDescent="0.35">
      <c r="A190" s="11" t="s">
        <v>18</v>
      </c>
      <c r="B190" s="4">
        <v>300000</v>
      </c>
      <c r="C190" s="10"/>
      <c r="D190" s="3"/>
    </row>
    <row r="191" spans="1:4" ht="16.2" thickBot="1" x14ac:dyDescent="0.35">
      <c r="A191" s="10"/>
      <c r="B191" s="3"/>
      <c r="C191" s="10"/>
      <c r="D191" s="3"/>
    </row>
    <row r="192" spans="1:4" ht="16.2" thickBot="1" x14ac:dyDescent="0.35">
      <c r="A192" s="9" t="s">
        <v>12</v>
      </c>
      <c r="B192" s="3"/>
      <c r="C192" s="11"/>
      <c r="D192" s="4"/>
    </row>
    <row r="193" spans="1:4" ht="16.2" thickBot="1" x14ac:dyDescent="0.35">
      <c r="A193" s="11" t="s">
        <v>21</v>
      </c>
      <c r="B193" s="4">
        <v>150000</v>
      </c>
      <c r="C193" s="11"/>
      <c r="D193" s="4"/>
    </row>
    <row r="194" spans="1:4" ht="16.2" thickBot="1" x14ac:dyDescent="0.35">
      <c r="A194" s="11" t="s">
        <v>22</v>
      </c>
      <c r="B194" s="4">
        <v>100000</v>
      </c>
      <c r="C194" s="11"/>
      <c r="D194" s="4"/>
    </row>
    <row r="195" spans="1:4" ht="16.2" thickBot="1" x14ac:dyDescent="0.35">
      <c r="A195" s="11" t="s">
        <v>27</v>
      </c>
      <c r="B195" s="4">
        <v>50000</v>
      </c>
      <c r="C195" s="11"/>
      <c r="D195" s="4"/>
    </row>
    <row r="196" spans="1:4" ht="16.2" thickBot="1" x14ac:dyDescent="0.35">
      <c r="A196" s="11" t="s">
        <v>13</v>
      </c>
      <c r="B196" s="4">
        <v>15000</v>
      </c>
      <c r="C196" s="11"/>
      <c r="D196" s="4"/>
    </row>
    <row r="197" spans="1:4" ht="16.2" thickBot="1" x14ac:dyDescent="0.35">
      <c r="A197" s="12" t="s">
        <v>25</v>
      </c>
      <c r="B197" s="13">
        <v>100000</v>
      </c>
      <c r="C197" s="10"/>
      <c r="D197" s="3"/>
    </row>
    <row r="198" spans="1:4" ht="16.2" thickBot="1" x14ac:dyDescent="0.35">
      <c r="A198" s="10"/>
      <c r="B198" s="3"/>
      <c r="C198" s="10"/>
      <c r="D198" s="3"/>
    </row>
    <row r="199" spans="1:4" s="1" customFormat="1" ht="16.2" thickBot="1" x14ac:dyDescent="0.35">
      <c r="A199" s="6" t="s">
        <v>6</v>
      </c>
      <c r="B199" s="2">
        <f>SUM(B180:B196)</f>
        <v>2695000</v>
      </c>
      <c r="C199" s="6" t="s">
        <v>7</v>
      </c>
      <c r="D199" s="2">
        <f>SUM(D180:D194)</f>
        <v>2795000</v>
      </c>
    </row>
    <row r="203" spans="1:4" ht="16.2" thickBot="1" x14ac:dyDescent="0.35"/>
    <row r="204" spans="1:4" ht="15" thickBot="1" x14ac:dyDescent="0.35">
      <c r="A204" s="16" t="s">
        <v>1</v>
      </c>
      <c r="B204" s="16"/>
      <c r="C204" s="16" t="s">
        <v>0</v>
      </c>
      <c r="D204" s="16"/>
    </row>
    <row r="205" spans="1:4" ht="15" thickBot="1" x14ac:dyDescent="0.35">
      <c r="A205" s="16"/>
      <c r="B205" s="16"/>
      <c r="C205" s="16"/>
      <c r="D205" s="16"/>
    </row>
    <row r="206" spans="1:4" ht="16.2" thickBot="1" x14ac:dyDescent="0.35">
      <c r="A206" s="9" t="s">
        <v>3</v>
      </c>
      <c r="B206" s="3"/>
      <c r="C206" s="9" t="s">
        <v>4</v>
      </c>
      <c r="D206" s="3"/>
    </row>
    <row r="207" spans="1:4" ht="16.2" thickBot="1" x14ac:dyDescent="0.35">
      <c r="A207" s="11" t="s">
        <v>2</v>
      </c>
      <c r="B207" s="4">
        <v>1430000</v>
      </c>
      <c r="C207" s="11" t="s">
        <v>5</v>
      </c>
      <c r="D207" s="4">
        <v>2000000</v>
      </c>
    </row>
    <row r="208" spans="1:4" ht="16.2" thickBot="1" x14ac:dyDescent="0.35">
      <c r="A208" s="10"/>
      <c r="B208" s="3"/>
      <c r="C208" s="10"/>
      <c r="D208" s="3"/>
    </row>
    <row r="209" spans="1:4" ht="16.2" thickBot="1" x14ac:dyDescent="0.35">
      <c r="A209" s="9" t="s">
        <v>10</v>
      </c>
      <c r="B209" s="3"/>
      <c r="C209" s="9" t="s">
        <v>8</v>
      </c>
      <c r="D209" s="3"/>
    </row>
    <row r="210" spans="1:4" ht="16.2" thickBot="1" x14ac:dyDescent="0.35">
      <c r="A210" s="10" t="s">
        <v>17</v>
      </c>
      <c r="B210" s="3"/>
      <c r="C210" s="11" t="s">
        <v>9</v>
      </c>
      <c r="D210" s="4">
        <v>495000</v>
      </c>
    </row>
    <row r="211" spans="1:4" ht="16.2" thickBot="1" x14ac:dyDescent="0.35">
      <c r="A211" s="11" t="s">
        <v>16</v>
      </c>
      <c r="B211" s="4">
        <v>150000</v>
      </c>
      <c r="C211" s="10"/>
      <c r="D211" s="3"/>
    </row>
    <row r="212" spans="1:4" ht="16.2" thickBot="1" x14ac:dyDescent="0.35">
      <c r="A212" s="10"/>
      <c r="B212" s="3"/>
      <c r="C212" s="9" t="s">
        <v>11</v>
      </c>
      <c r="D212" s="3"/>
    </row>
    <row r="213" spans="1:4" ht="16.2" thickBot="1" x14ac:dyDescent="0.35">
      <c r="A213" s="9" t="s">
        <v>10</v>
      </c>
      <c r="B213" s="3"/>
      <c r="C213" s="11" t="s">
        <v>19</v>
      </c>
      <c r="D213" s="4">
        <v>300000</v>
      </c>
    </row>
    <row r="214" spans="1:4" ht="16.2" thickBot="1" x14ac:dyDescent="0.35">
      <c r="A214" s="10" t="s">
        <v>15</v>
      </c>
      <c r="B214" s="3"/>
      <c r="C214" s="12" t="s">
        <v>24</v>
      </c>
      <c r="D214" s="13">
        <v>400000</v>
      </c>
    </row>
    <row r="215" spans="1:4" ht="16.2" thickBot="1" x14ac:dyDescent="0.35">
      <c r="A215" s="11" t="s">
        <v>14</v>
      </c>
      <c r="B215" s="4">
        <v>500000</v>
      </c>
      <c r="C215" s="10"/>
      <c r="D215" s="3"/>
    </row>
    <row r="216" spans="1:4" ht="16.2" thickBot="1" x14ac:dyDescent="0.35">
      <c r="A216" s="11" t="s">
        <v>18</v>
      </c>
      <c r="B216" s="4">
        <v>300000</v>
      </c>
      <c r="C216" s="10"/>
      <c r="D216" s="3"/>
    </row>
    <row r="217" spans="1:4" ht="16.2" thickBot="1" x14ac:dyDescent="0.35">
      <c r="A217" s="10"/>
      <c r="B217" s="3"/>
      <c r="C217" s="10"/>
      <c r="D217" s="3"/>
    </row>
    <row r="218" spans="1:4" ht="16.2" thickBot="1" x14ac:dyDescent="0.35">
      <c r="A218" s="9" t="s">
        <v>12</v>
      </c>
      <c r="B218" s="3"/>
      <c r="C218" s="11"/>
      <c r="D218" s="4"/>
    </row>
    <row r="219" spans="1:4" ht="16.2" thickBot="1" x14ac:dyDescent="0.35">
      <c r="A219" s="11" t="s">
        <v>21</v>
      </c>
      <c r="B219" s="4">
        <v>150000</v>
      </c>
      <c r="C219" s="11"/>
      <c r="D219" s="4"/>
    </row>
    <row r="220" spans="1:4" ht="16.2" thickBot="1" x14ac:dyDescent="0.35">
      <c r="A220" s="11" t="s">
        <v>22</v>
      </c>
      <c r="B220" s="4">
        <v>100000</v>
      </c>
      <c r="C220" s="11"/>
      <c r="D220" s="4"/>
    </row>
    <row r="221" spans="1:4" ht="16.2" thickBot="1" x14ac:dyDescent="0.35">
      <c r="A221" s="11" t="s">
        <v>23</v>
      </c>
      <c r="B221" s="4">
        <v>50000</v>
      </c>
      <c r="C221" s="11"/>
      <c r="D221" s="4"/>
    </row>
    <row r="222" spans="1:4" ht="16.2" thickBot="1" x14ac:dyDescent="0.35">
      <c r="A222" s="11" t="s">
        <v>13</v>
      </c>
      <c r="B222" s="4">
        <v>15000</v>
      </c>
      <c r="C222" s="11"/>
      <c r="D222" s="4"/>
    </row>
    <row r="223" spans="1:4" ht="16.2" thickBot="1" x14ac:dyDescent="0.35">
      <c r="A223" s="12" t="s">
        <v>26</v>
      </c>
      <c r="B223" s="13">
        <v>500000</v>
      </c>
      <c r="C223" s="11"/>
      <c r="D223" s="4"/>
    </row>
    <row r="224" spans="1:4" ht="16.2" thickBot="1" x14ac:dyDescent="0.35">
      <c r="A224" s="11"/>
      <c r="B224" s="4"/>
      <c r="C224" s="11"/>
      <c r="D224" s="4"/>
    </row>
    <row r="225" spans="1:4" s="1" customFormat="1" ht="16.2" thickBot="1" x14ac:dyDescent="0.35">
      <c r="A225" s="6" t="s">
        <v>6</v>
      </c>
      <c r="B225" s="2">
        <f>SUM(B206:B223)</f>
        <v>3195000</v>
      </c>
      <c r="C225" s="6" t="s">
        <v>7</v>
      </c>
      <c r="D225" s="2">
        <f>SUM(D206:D220)</f>
        <v>3195000</v>
      </c>
    </row>
  </sheetData>
  <mergeCells count="23">
    <mergeCell ref="A178:B179"/>
    <mergeCell ref="C178:D179"/>
    <mergeCell ref="A204:B205"/>
    <mergeCell ref="C204:D205"/>
    <mergeCell ref="A108:B109"/>
    <mergeCell ref="C108:D109"/>
    <mergeCell ref="A131:B132"/>
    <mergeCell ref="C131:D132"/>
    <mergeCell ref="A154:B155"/>
    <mergeCell ref="C154:D155"/>
    <mergeCell ref="A31:B32"/>
    <mergeCell ref="C31:D32"/>
    <mergeCell ref="A67:B68"/>
    <mergeCell ref="C67:D68"/>
    <mergeCell ref="A87:B88"/>
    <mergeCell ref="C87:D88"/>
    <mergeCell ref="A3:B4"/>
    <mergeCell ref="C3:D4"/>
    <mergeCell ref="A15:B16"/>
    <mergeCell ref="C15:D16"/>
    <mergeCell ref="A1:D1"/>
    <mergeCell ref="A49:B50"/>
    <mergeCell ref="C49:D5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Giammaria</dc:creator>
  <cp:lastModifiedBy>Francesco Giammaria</cp:lastModifiedBy>
  <dcterms:created xsi:type="dcterms:W3CDTF">2026-03-19T10:03:29Z</dcterms:created>
  <dcterms:modified xsi:type="dcterms:W3CDTF">2026-03-25T13:39:48Z</dcterms:modified>
</cp:coreProperties>
</file>