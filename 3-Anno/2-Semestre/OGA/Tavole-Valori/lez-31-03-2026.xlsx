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oma1it-my.sharepoint.com/personal/giammaria_2108040_studenti_uniroma1_it/Documents/1-University-Notes/3-Anno/2-Semestre/OGA/Tavole-Valori/"/>
    </mc:Choice>
  </mc:AlternateContent>
  <xr:revisionPtr revIDLastSave="2" documentId="8_{E6CCD192-BB58-4C14-9EFB-4072740968B6}" xr6:coauthVersionLast="47" xr6:coauthVersionMax="47" xr10:uidLastSave="{62F6A02F-308A-4E7D-BB88-05548968D203}"/>
  <bookViews>
    <workbookView xWindow="28680" yWindow="-120" windowWidth="29040" windowHeight="15720" xr2:uid="{0C7C3E6E-9795-449E-B904-6B23AFD981C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1" i="1" l="1"/>
  <c r="B211" i="1"/>
  <c r="D184" i="1"/>
  <c r="B184" i="1"/>
  <c r="D157" i="1"/>
  <c r="B157" i="1"/>
  <c r="D131" i="1"/>
  <c r="B131" i="1"/>
  <c r="D105" i="1"/>
  <c r="B105" i="1"/>
  <c r="D77" i="1"/>
  <c r="B77" i="1"/>
  <c r="D51" i="1"/>
  <c r="B51" i="1"/>
  <c r="D25" i="1"/>
  <c r="B25" i="1"/>
</calcChain>
</file>

<file path=xl/sharedStrings.xml><?xml version="1.0" encoding="utf-8"?>
<sst xmlns="http://schemas.openxmlformats.org/spreadsheetml/2006/main" count="253" uniqueCount="48">
  <si>
    <t>IMPIEGHI</t>
  </si>
  <si>
    <t>FONTI</t>
  </si>
  <si>
    <t>LIQUIDITA</t>
  </si>
  <si>
    <t>CAPITALE DI RISCHIO</t>
  </si>
  <si>
    <t>- C/C Bancario</t>
  </si>
  <si>
    <t>- Capitale Sociale</t>
  </si>
  <si>
    <t>CREDITI</t>
  </si>
  <si>
    <t>CAPITALE DI CREDITO</t>
  </si>
  <si>
    <t>- Crediti v/clienti</t>
  </si>
  <si>
    <t>- Finanziamenti Bancari</t>
  </si>
  <si>
    <t>SPESE DI INVESTIMENTO</t>
  </si>
  <si>
    <t>DEBITI DI DILAZIONE</t>
  </si>
  <si>
    <t>I) Immobilizzazioni Materiali</t>
  </si>
  <si>
    <t>-- Impianti</t>
  </si>
  <si>
    <t>- Debiti v/enti previdenziali</t>
  </si>
  <si>
    <t>- Debiti v/fornitori di Servizi Operativi</t>
  </si>
  <si>
    <t>III) Investimenti Finanziari</t>
  </si>
  <si>
    <t>-- Titoli di Stato</t>
  </si>
  <si>
    <t>RICAVI</t>
  </si>
  <si>
    <t>- Ricavi per Vendite di Prodotti</t>
  </si>
  <si>
    <t>SPESE CORRENTI</t>
  </si>
  <si>
    <t>- Altri ricavi complementari</t>
  </si>
  <si>
    <t>-- Materie Prime</t>
  </si>
  <si>
    <t>-- Retribuzioni ed Oneri Finanziari</t>
  </si>
  <si>
    <t>-- Servizi Operativi</t>
  </si>
  <si>
    <t>Tot. Fonti</t>
  </si>
  <si>
    <t>Tot. Impieghi</t>
  </si>
  <si>
    <t>- Crediti v/erario</t>
  </si>
  <si>
    <t>1) La società riceve la fattura del commercialista per 10.000 euro + IVA 20%</t>
  </si>
  <si>
    <t>-- Servizi Amministrativi</t>
  </si>
  <si>
    <t>2) Venduti prodotti per 50.000 euro + IVA (20%)</t>
  </si>
  <si>
    <t>- Debiti v/erario</t>
  </si>
  <si>
    <t>3) Pagamento IVA a fine mese</t>
  </si>
  <si>
    <t>NOTA: Dalla banca escono solo 8.000 euro, poiché andiamo a compensare il debito di 10.000 con il credito di 2.000</t>
  </si>
  <si>
    <t xml:space="preserve">Nel caso contrario (crediti &gt; debiti) possiamo richiedere allo stato un rimborso, che rappresenta quindi un'entrata </t>
  </si>
  <si>
    <t>Questa cosa NON vale per i soggetti privati diversi dalle aziende (a meno che non siano dotati di partita IVA)</t>
  </si>
  <si>
    <t>4) L'azienda paga un acconto per macchinari di 30.000 euro</t>
  </si>
  <si>
    <t>-- Acconti a fornitori di macchinari</t>
  </si>
  <si>
    <t>5) Dopo 3 mesi l'azienda riceve il macchinario dal valore (complessivo) di 100.000 euro. Il saldo viene pagato a dilazione</t>
  </si>
  <si>
    <t>- Debiti v/fornitori di Macchinari</t>
  </si>
  <si>
    <t>-- Macchinari</t>
  </si>
  <si>
    <t xml:space="preserve">6) Emissione di 500.000 nuove azioni, dal valore nominale di 1 euro, vendute pero ad 1.5 euro l'una </t>
  </si>
  <si>
    <t>- Riserva di Sovrapprezzo Azioni</t>
  </si>
  <si>
    <t>NOTA: Riserva di Sovrapprezzo Azioni rappresenta una ricompensa per i vecchi azionisti che hanno creduto nell'azienda. Pertanto ricade come voce nel capitale di rischio</t>
  </si>
  <si>
    <t>- Obbligazioni Convertibili</t>
  </si>
  <si>
    <t>- Obbligazioni</t>
  </si>
  <si>
    <t>7) Emissione di 150.000 euro di obbligazioni convertibili</t>
  </si>
  <si>
    <t>8) Convertite 120.000 euro di obbligazioni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</si>
</sst>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5BA95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quotePrefix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3" borderId="1" xfId="0" quotePrefix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C99"/>
      <color rgb="FFF5BA95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24E0-2966-44FA-B7DA-5B274BA2CF82}">
  <dimension ref="A2:D211"/>
  <sheetViews>
    <sheetView tabSelected="1" topLeftCell="A201" workbookViewId="0">
      <selection activeCell="A189" sqref="A189:D211"/>
    </sheetView>
  </sheetViews>
  <sheetFormatPr defaultRowHeight="15.6" x14ac:dyDescent="0.3"/>
  <cols>
    <col min="1" max="1" width="32.88671875" style="10" bestFit="1" customWidth="1"/>
    <col min="2" max="2" width="9.88671875" style="10" bestFit="1" customWidth="1"/>
    <col min="3" max="3" width="36.5546875" style="10" bestFit="1" customWidth="1"/>
    <col min="4" max="4" width="9.88671875" style="10" bestFit="1" customWidth="1"/>
    <col min="5" max="16384" width="8.88671875" style="10"/>
  </cols>
  <sheetData>
    <row r="2" spans="1:4" ht="16.2" thickBot="1" x14ac:dyDescent="0.35">
      <c r="A2" s="10" t="s">
        <v>28</v>
      </c>
    </row>
    <row r="3" spans="1:4" ht="16.2" thickBot="1" x14ac:dyDescent="0.35">
      <c r="A3" s="12" t="s">
        <v>0</v>
      </c>
      <c r="B3" s="12"/>
      <c r="C3" s="12" t="s">
        <v>1</v>
      </c>
      <c r="D3" s="12"/>
    </row>
    <row r="4" spans="1:4" ht="16.2" thickBot="1" x14ac:dyDescent="0.35">
      <c r="A4" s="12"/>
      <c r="B4" s="12"/>
      <c r="C4" s="12"/>
      <c r="D4" s="12"/>
    </row>
    <row r="5" spans="1:4" ht="16.2" thickBot="1" x14ac:dyDescent="0.35">
      <c r="A5" s="1" t="s">
        <v>2</v>
      </c>
      <c r="B5" s="2"/>
      <c r="C5" s="1" t="s">
        <v>3</v>
      </c>
      <c r="D5" s="2"/>
    </row>
    <row r="6" spans="1:4" ht="16.2" thickBot="1" x14ac:dyDescent="0.35">
      <c r="A6" s="3" t="s">
        <v>4</v>
      </c>
      <c r="B6" s="4">
        <v>388000</v>
      </c>
      <c r="C6" s="5" t="s">
        <v>5</v>
      </c>
      <c r="D6" s="6">
        <v>2000000</v>
      </c>
    </row>
    <row r="7" spans="1:4" ht="16.2" thickBot="1" x14ac:dyDescent="0.35">
      <c r="A7" s="7"/>
      <c r="B7" s="2"/>
      <c r="C7" s="7"/>
      <c r="D7" s="2"/>
    </row>
    <row r="8" spans="1:4" ht="16.2" thickBot="1" x14ac:dyDescent="0.35">
      <c r="A8" s="1" t="s">
        <v>6</v>
      </c>
      <c r="B8" s="2"/>
      <c r="C8" s="1" t="s">
        <v>7</v>
      </c>
      <c r="D8" s="2"/>
    </row>
    <row r="9" spans="1:4" ht="16.2" thickBot="1" x14ac:dyDescent="0.35">
      <c r="A9" s="5" t="s">
        <v>8</v>
      </c>
      <c r="B9" s="6">
        <v>1700000</v>
      </c>
      <c r="C9" s="5" t="s">
        <v>9</v>
      </c>
      <c r="D9" s="6">
        <v>3000000</v>
      </c>
    </row>
    <row r="10" spans="1:4" ht="16.2" thickBot="1" x14ac:dyDescent="0.35">
      <c r="A10" s="3" t="s">
        <v>27</v>
      </c>
      <c r="B10" s="4">
        <v>2000</v>
      </c>
      <c r="C10" s="7"/>
      <c r="D10" s="2"/>
    </row>
    <row r="11" spans="1:4" ht="16.2" thickBot="1" x14ac:dyDescent="0.35">
      <c r="A11" s="7"/>
      <c r="B11" s="2"/>
      <c r="C11" s="1" t="s">
        <v>11</v>
      </c>
      <c r="D11" s="2"/>
    </row>
    <row r="12" spans="1:4" ht="16.2" thickBot="1" x14ac:dyDescent="0.35">
      <c r="A12" s="1" t="s">
        <v>10</v>
      </c>
      <c r="B12" s="2"/>
      <c r="C12" s="5" t="s">
        <v>14</v>
      </c>
      <c r="D12" s="6">
        <v>400000</v>
      </c>
    </row>
    <row r="13" spans="1:4" ht="16.2" thickBot="1" x14ac:dyDescent="0.35">
      <c r="A13" s="5" t="s">
        <v>12</v>
      </c>
      <c r="B13" s="6"/>
      <c r="C13" s="5" t="s">
        <v>15</v>
      </c>
      <c r="D13" s="6">
        <v>1100000</v>
      </c>
    </row>
    <row r="14" spans="1:4" ht="16.2" thickBot="1" x14ac:dyDescent="0.35">
      <c r="A14" s="5" t="s">
        <v>13</v>
      </c>
      <c r="B14" s="6">
        <v>4100000</v>
      </c>
      <c r="C14" s="7"/>
      <c r="D14" s="2"/>
    </row>
    <row r="15" spans="1:4" ht="16.2" thickBot="1" x14ac:dyDescent="0.35">
      <c r="A15" s="7"/>
      <c r="B15" s="2"/>
      <c r="C15" s="1" t="s">
        <v>18</v>
      </c>
      <c r="D15" s="2"/>
    </row>
    <row r="16" spans="1:4" ht="16.2" thickBot="1" x14ac:dyDescent="0.35">
      <c r="A16" s="5" t="s">
        <v>16</v>
      </c>
      <c r="B16" s="6"/>
      <c r="C16" s="5" t="s">
        <v>19</v>
      </c>
      <c r="D16" s="6">
        <v>4500000</v>
      </c>
    </row>
    <row r="17" spans="1:4" ht="16.2" thickBot="1" x14ac:dyDescent="0.35">
      <c r="A17" s="5" t="s">
        <v>17</v>
      </c>
      <c r="B17" s="6">
        <v>100000</v>
      </c>
      <c r="C17" s="5" t="s">
        <v>21</v>
      </c>
      <c r="D17" s="6">
        <v>100000</v>
      </c>
    </row>
    <row r="18" spans="1:4" ht="16.2" thickBot="1" x14ac:dyDescent="0.35">
      <c r="A18" s="7"/>
      <c r="B18" s="2"/>
      <c r="C18" s="7"/>
      <c r="D18" s="2"/>
    </row>
    <row r="19" spans="1:4" ht="16.2" thickBot="1" x14ac:dyDescent="0.35">
      <c r="A19" s="1" t="s">
        <v>20</v>
      </c>
      <c r="B19" s="2"/>
      <c r="C19" s="7"/>
      <c r="D19" s="2"/>
    </row>
    <row r="20" spans="1:4" ht="16.2" thickBot="1" x14ac:dyDescent="0.35">
      <c r="A20" s="5" t="s">
        <v>22</v>
      </c>
      <c r="B20" s="6">
        <v>1200000</v>
      </c>
      <c r="C20" s="7"/>
      <c r="D20" s="2"/>
    </row>
    <row r="21" spans="1:4" ht="16.2" thickBot="1" x14ac:dyDescent="0.35">
      <c r="A21" s="5" t="s">
        <v>23</v>
      </c>
      <c r="B21" s="6">
        <v>2500000</v>
      </c>
      <c r="C21" s="7"/>
      <c r="D21" s="2"/>
    </row>
    <row r="22" spans="1:4" ht="16.2" thickBot="1" x14ac:dyDescent="0.35">
      <c r="A22" s="5" t="s">
        <v>24</v>
      </c>
      <c r="B22" s="6">
        <v>1100000</v>
      </c>
      <c r="C22" s="7"/>
      <c r="D22" s="2"/>
    </row>
    <row r="23" spans="1:4" ht="16.2" thickBot="1" x14ac:dyDescent="0.35">
      <c r="A23" s="3" t="s">
        <v>29</v>
      </c>
      <c r="B23" s="4">
        <v>10000</v>
      </c>
      <c r="C23" s="7"/>
      <c r="D23" s="2"/>
    </row>
    <row r="24" spans="1:4" ht="16.2" thickBot="1" x14ac:dyDescent="0.35">
      <c r="A24" s="7"/>
      <c r="B24" s="2"/>
      <c r="C24" s="7"/>
      <c r="D24" s="2"/>
    </row>
    <row r="25" spans="1:4" ht="16.2" thickBot="1" x14ac:dyDescent="0.35">
      <c r="A25" s="8" t="s">
        <v>25</v>
      </c>
      <c r="B25" s="9">
        <f>SUM(B5:B24)</f>
        <v>11100000</v>
      </c>
      <c r="C25" s="8" t="s">
        <v>26</v>
      </c>
      <c r="D25" s="9">
        <f>SUM(D5:D24)</f>
        <v>11100000</v>
      </c>
    </row>
    <row r="28" spans="1:4" ht="16.2" thickBot="1" x14ac:dyDescent="0.35">
      <c r="A28" s="10" t="s">
        <v>30</v>
      </c>
    </row>
    <row r="29" spans="1:4" ht="16.2" thickBot="1" x14ac:dyDescent="0.35">
      <c r="A29" s="12" t="s">
        <v>0</v>
      </c>
      <c r="B29" s="12"/>
      <c r="C29" s="12" t="s">
        <v>1</v>
      </c>
      <c r="D29" s="12"/>
    </row>
    <row r="30" spans="1:4" ht="16.2" thickBot="1" x14ac:dyDescent="0.35">
      <c r="A30" s="12"/>
      <c r="B30" s="12"/>
      <c r="C30" s="12"/>
      <c r="D30" s="12"/>
    </row>
    <row r="31" spans="1:4" ht="16.2" thickBot="1" x14ac:dyDescent="0.35">
      <c r="A31" s="1" t="s">
        <v>2</v>
      </c>
      <c r="B31" s="2"/>
      <c r="C31" s="1" t="s">
        <v>3</v>
      </c>
      <c r="D31" s="2"/>
    </row>
    <row r="32" spans="1:4" ht="16.2" thickBot="1" x14ac:dyDescent="0.35">
      <c r="A32" s="3" t="s">
        <v>4</v>
      </c>
      <c r="B32" s="4">
        <v>448000</v>
      </c>
      <c r="C32" s="5" t="s">
        <v>5</v>
      </c>
      <c r="D32" s="6">
        <v>2000000</v>
      </c>
    </row>
    <row r="33" spans="1:4" ht="16.2" thickBot="1" x14ac:dyDescent="0.35">
      <c r="A33" s="7"/>
      <c r="B33" s="2"/>
      <c r="C33" s="7"/>
      <c r="D33" s="2"/>
    </row>
    <row r="34" spans="1:4" ht="16.2" thickBot="1" x14ac:dyDescent="0.35">
      <c r="A34" s="1" t="s">
        <v>6</v>
      </c>
      <c r="B34" s="2"/>
      <c r="C34" s="1" t="s">
        <v>7</v>
      </c>
      <c r="D34" s="2"/>
    </row>
    <row r="35" spans="1:4" ht="16.2" thickBot="1" x14ac:dyDescent="0.35">
      <c r="A35" s="5" t="s">
        <v>8</v>
      </c>
      <c r="B35" s="6">
        <v>1700000</v>
      </c>
      <c r="C35" s="5" t="s">
        <v>9</v>
      </c>
      <c r="D35" s="6">
        <v>3000000</v>
      </c>
    </row>
    <row r="36" spans="1:4" ht="16.2" thickBot="1" x14ac:dyDescent="0.35">
      <c r="A36" s="5" t="s">
        <v>27</v>
      </c>
      <c r="B36" s="6">
        <v>2000</v>
      </c>
      <c r="C36" s="7"/>
      <c r="D36" s="2"/>
    </row>
    <row r="37" spans="1:4" ht="16.2" thickBot="1" x14ac:dyDescent="0.35">
      <c r="A37" s="7"/>
      <c r="B37" s="2"/>
      <c r="C37" s="1" t="s">
        <v>11</v>
      </c>
      <c r="D37" s="2"/>
    </row>
    <row r="38" spans="1:4" ht="16.2" thickBot="1" x14ac:dyDescent="0.35">
      <c r="A38" s="1" t="s">
        <v>10</v>
      </c>
      <c r="B38" s="2"/>
      <c r="C38" s="5" t="s">
        <v>14</v>
      </c>
      <c r="D38" s="6">
        <v>400000</v>
      </c>
    </row>
    <row r="39" spans="1:4" ht="16.2" thickBot="1" x14ac:dyDescent="0.35">
      <c r="A39" s="5" t="s">
        <v>12</v>
      </c>
      <c r="B39" s="6"/>
      <c r="C39" s="5" t="s">
        <v>15</v>
      </c>
      <c r="D39" s="6">
        <v>1100000</v>
      </c>
    </row>
    <row r="40" spans="1:4" ht="16.2" thickBot="1" x14ac:dyDescent="0.35">
      <c r="A40" s="5" t="s">
        <v>13</v>
      </c>
      <c r="B40" s="6">
        <v>4100000</v>
      </c>
      <c r="C40" s="3" t="s">
        <v>31</v>
      </c>
      <c r="D40" s="4">
        <v>10000</v>
      </c>
    </row>
    <row r="41" spans="1:4" ht="16.2" thickBot="1" x14ac:dyDescent="0.35">
      <c r="A41" s="7"/>
      <c r="B41" s="2"/>
      <c r="C41" s="7"/>
      <c r="D41" s="2"/>
    </row>
    <row r="42" spans="1:4" ht="16.2" thickBot="1" x14ac:dyDescent="0.35">
      <c r="A42" s="5" t="s">
        <v>16</v>
      </c>
      <c r="B42" s="6"/>
      <c r="C42" s="1" t="s">
        <v>18</v>
      </c>
      <c r="D42" s="2"/>
    </row>
    <row r="43" spans="1:4" ht="16.2" thickBot="1" x14ac:dyDescent="0.35">
      <c r="A43" s="5" t="s">
        <v>17</v>
      </c>
      <c r="B43" s="6">
        <v>100000</v>
      </c>
      <c r="C43" s="5" t="s">
        <v>19</v>
      </c>
      <c r="D43" s="6">
        <v>4500000</v>
      </c>
    </row>
    <row r="44" spans="1:4" ht="16.2" thickBot="1" x14ac:dyDescent="0.35">
      <c r="A44" s="7"/>
      <c r="B44" s="2"/>
      <c r="C44" s="3" t="s">
        <v>21</v>
      </c>
      <c r="D44" s="4">
        <v>150000</v>
      </c>
    </row>
    <row r="45" spans="1:4" ht="16.2" thickBot="1" x14ac:dyDescent="0.35">
      <c r="A45" s="1" t="s">
        <v>20</v>
      </c>
      <c r="B45" s="2"/>
      <c r="C45" s="7"/>
      <c r="D45" s="2"/>
    </row>
    <row r="46" spans="1:4" ht="16.2" thickBot="1" x14ac:dyDescent="0.35">
      <c r="A46" s="5" t="s">
        <v>22</v>
      </c>
      <c r="B46" s="6">
        <v>1200000</v>
      </c>
      <c r="C46" s="7"/>
      <c r="D46" s="2"/>
    </row>
    <row r="47" spans="1:4" ht="16.2" thickBot="1" x14ac:dyDescent="0.35">
      <c r="A47" s="5" t="s">
        <v>23</v>
      </c>
      <c r="B47" s="6">
        <v>2500000</v>
      </c>
      <c r="C47" s="7"/>
      <c r="D47" s="2"/>
    </row>
    <row r="48" spans="1:4" ht="16.2" thickBot="1" x14ac:dyDescent="0.35">
      <c r="A48" s="5" t="s">
        <v>24</v>
      </c>
      <c r="B48" s="6">
        <v>1100000</v>
      </c>
      <c r="C48" s="7"/>
      <c r="D48" s="2"/>
    </row>
    <row r="49" spans="1:4" ht="16.2" thickBot="1" x14ac:dyDescent="0.35">
      <c r="A49" s="5" t="s">
        <v>29</v>
      </c>
      <c r="B49" s="6">
        <v>10000</v>
      </c>
      <c r="C49" s="7"/>
      <c r="D49" s="2"/>
    </row>
    <row r="50" spans="1:4" ht="16.2" thickBot="1" x14ac:dyDescent="0.35">
      <c r="A50" s="7"/>
      <c r="B50" s="2"/>
      <c r="C50" s="7"/>
      <c r="D50" s="2"/>
    </row>
    <row r="51" spans="1:4" ht="16.2" thickBot="1" x14ac:dyDescent="0.35">
      <c r="A51" s="8" t="s">
        <v>25</v>
      </c>
      <c r="B51" s="9">
        <f>SUM(B31:B50)</f>
        <v>11160000</v>
      </c>
      <c r="C51" s="8" t="s">
        <v>26</v>
      </c>
      <c r="D51" s="9">
        <f>SUM(D31:D50)</f>
        <v>11160000</v>
      </c>
    </row>
    <row r="54" spans="1:4" ht="16.2" thickBot="1" x14ac:dyDescent="0.35">
      <c r="A54" s="10" t="s">
        <v>32</v>
      </c>
    </row>
    <row r="55" spans="1:4" ht="16.2" thickBot="1" x14ac:dyDescent="0.35">
      <c r="A55" s="12" t="s">
        <v>0</v>
      </c>
      <c r="B55" s="12"/>
      <c r="C55" s="12" t="s">
        <v>1</v>
      </c>
      <c r="D55" s="12"/>
    </row>
    <row r="56" spans="1:4" ht="16.2" thickBot="1" x14ac:dyDescent="0.35">
      <c r="A56" s="12"/>
      <c r="B56" s="12"/>
      <c r="C56" s="12"/>
      <c r="D56" s="12"/>
    </row>
    <row r="57" spans="1:4" ht="16.2" thickBot="1" x14ac:dyDescent="0.35">
      <c r="A57" s="1" t="s">
        <v>2</v>
      </c>
      <c r="B57" s="2"/>
      <c r="C57" s="1" t="s">
        <v>3</v>
      </c>
      <c r="D57" s="2"/>
    </row>
    <row r="58" spans="1:4" ht="16.2" thickBot="1" x14ac:dyDescent="0.35">
      <c r="A58" s="3" t="s">
        <v>4</v>
      </c>
      <c r="B58" s="4">
        <v>440000</v>
      </c>
      <c r="C58" s="5" t="s">
        <v>5</v>
      </c>
      <c r="D58" s="6">
        <v>2000000</v>
      </c>
    </row>
    <row r="59" spans="1:4" ht="16.2" thickBot="1" x14ac:dyDescent="0.35">
      <c r="A59" s="7"/>
      <c r="B59" s="2"/>
      <c r="C59" s="7"/>
      <c r="D59" s="2"/>
    </row>
    <row r="60" spans="1:4" ht="16.2" thickBot="1" x14ac:dyDescent="0.35">
      <c r="A60" s="1" t="s">
        <v>6</v>
      </c>
      <c r="B60" s="2"/>
      <c r="C60" s="1" t="s">
        <v>7</v>
      </c>
      <c r="D60" s="2"/>
    </row>
    <row r="61" spans="1:4" ht="16.2" thickBot="1" x14ac:dyDescent="0.35">
      <c r="A61" s="5" t="s">
        <v>8</v>
      </c>
      <c r="B61" s="6">
        <v>1700000</v>
      </c>
      <c r="C61" s="5" t="s">
        <v>9</v>
      </c>
      <c r="D61" s="6">
        <v>3000000</v>
      </c>
    </row>
    <row r="62" spans="1:4" ht="16.2" thickBot="1" x14ac:dyDescent="0.35">
      <c r="A62" s="3"/>
      <c r="B62" s="4"/>
      <c r="C62" s="7"/>
      <c r="D62" s="2"/>
    </row>
    <row r="63" spans="1:4" ht="16.2" thickBot="1" x14ac:dyDescent="0.35">
      <c r="A63" s="7"/>
      <c r="B63" s="2"/>
      <c r="C63" s="1" t="s">
        <v>11</v>
      </c>
      <c r="D63" s="2"/>
    </row>
    <row r="64" spans="1:4" ht="16.2" thickBot="1" x14ac:dyDescent="0.35">
      <c r="A64" s="1" t="s">
        <v>10</v>
      </c>
      <c r="B64" s="2"/>
      <c r="C64" s="5" t="s">
        <v>14</v>
      </c>
      <c r="D64" s="6">
        <v>400000</v>
      </c>
    </row>
    <row r="65" spans="1:4" ht="16.2" thickBot="1" x14ac:dyDescent="0.35">
      <c r="A65" s="5" t="s">
        <v>12</v>
      </c>
      <c r="B65" s="6"/>
      <c r="C65" s="5" t="s">
        <v>15</v>
      </c>
      <c r="D65" s="6">
        <v>1100000</v>
      </c>
    </row>
    <row r="66" spans="1:4" ht="16.2" thickBot="1" x14ac:dyDescent="0.35">
      <c r="A66" s="5" t="s">
        <v>13</v>
      </c>
      <c r="B66" s="6">
        <v>4100000</v>
      </c>
      <c r="C66" s="3"/>
      <c r="D66" s="4"/>
    </row>
    <row r="67" spans="1:4" ht="16.2" thickBot="1" x14ac:dyDescent="0.35">
      <c r="A67" s="7"/>
      <c r="B67" s="2"/>
      <c r="C67" s="7"/>
      <c r="D67" s="2"/>
    </row>
    <row r="68" spans="1:4" ht="16.2" thickBot="1" x14ac:dyDescent="0.35">
      <c r="A68" s="5" t="s">
        <v>16</v>
      </c>
      <c r="B68" s="6"/>
      <c r="C68" s="1" t="s">
        <v>18</v>
      </c>
      <c r="D68" s="2"/>
    </row>
    <row r="69" spans="1:4" ht="16.2" thickBot="1" x14ac:dyDescent="0.35">
      <c r="A69" s="5" t="s">
        <v>17</v>
      </c>
      <c r="B69" s="6">
        <v>100000</v>
      </c>
      <c r="C69" s="5" t="s">
        <v>19</v>
      </c>
      <c r="D69" s="6">
        <v>4500000</v>
      </c>
    </row>
    <row r="70" spans="1:4" ht="16.2" thickBot="1" x14ac:dyDescent="0.35">
      <c r="A70" s="7"/>
      <c r="B70" s="2"/>
      <c r="C70" s="5" t="s">
        <v>21</v>
      </c>
      <c r="D70" s="6">
        <v>150000</v>
      </c>
    </row>
    <row r="71" spans="1:4" ht="16.2" thickBot="1" x14ac:dyDescent="0.35">
      <c r="A71" s="1" t="s">
        <v>20</v>
      </c>
      <c r="B71" s="2"/>
      <c r="C71" s="7"/>
      <c r="D71" s="2"/>
    </row>
    <row r="72" spans="1:4" ht="16.2" thickBot="1" x14ac:dyDescent="0.35">
      <c r="A72" s="5" t="s">
        <v>22</v>
      </c>
      <c r="B72" s="6">
        <v>1200000</v>
      </c>
      <c r="C72" s="7"/>
      <c r="D72" s="2"/>
    </row>
    <row r="73" spans="1:4" ht="16.2" thickBot="1" x14ac:dyDescent="0.35">
      <c r="A73" s="5" t="s">
        <v>23</v>
      </c>
      <c r="B73" s="6">
        <v>2500000</v>
      </c>
      <c r="C73" s="7"/>
      <c r="D73" s="2"/>
    </row>
    <row r="74" spans="1:4" ht="16.2" thickBot="1" x14ac:dyDescent="0.35">
      <c r="A74" s="5" t="s">
        <v>24</v>
      </c>
      <c r="B74" s="6">
        <v>1100000</v>
      </c>
      <c r="C74" s="7"/>
      <c r="D74" s="2"/>
    </row>
    <row r="75" spans="1:4" ht="16.2" thickBot="1" x14ac:dyDescent="0.35">
      <c r="A75" s="5" t="s">
        <v>29</v>
      </c>
      <c r="B75" s="6">
        <v>10000</v>
      </c>
      <c r="C75" s="7"/>
      <c r="D75" s="2"/>
    </row>
    <row r="76" spans="1:4" ht="16.2" thickBot="1" x14ac:dyDescent="0.35">
      <c r="A76" s="7"/>
      <c r="B76" s="2"/>
      <c r="C76" s="7"/>
      <c r="D76" s="2"/>
    </row>
    <row r="77" spans="1:4" ht="16.2" thickBot="1" x14ac:dyDescent="0.35">
      <c r="A77" s="8" t="s">
        <v>25</v>
      </c>
      <c r="B77" s="9">
        <f>SUM(B57:B76)</f>
        <v>11150000</v>
      </c>
      <c r="C77" s="8" t="s">
        <v>26</v>
      </c>
      <c r="D77" s="9">
        <f>SUM(D57:D76)</f>
        <v>11150000</v>
      </c>
    </row>
    <row r="78" spans="1:4" x14ac:dyDescent="0.3">
      <c r="A78" s="11" t="s">
        <v>33</v>
      </c>
    </row>
    <row r="79" spans="1:4" x14ac:dyDescent="0.3">
      <c r="A79" s="10" t="s">
        <v>34</v>
      </c>
    </row>
    <row r="80" spans="1:4" x14ac:dyDescent="0.3">
      <c r="A80" s="10" t="s">
        <v>35</v>
      </c>
    </row>
    <row r="82" spans="1:4" ht="16.2" thickBot="1" x14ac:dyDescent="0.35">
      <c r="A82" s="10" t="s">
        <v>36</v>
      </c>
    </row>
    <row r="83" spans="1:4" ht="16.2" thickBot="1" x14ac:dyDescent="0.35">
      <c r="A83" s="12" t="s">
        <v>0</v>
      </c>
      <c r="B83" s="12"/>
      <c r="C83" s="12" t="s">
        <v>1</v>
      </c>
      <c r="D83" s="12"/>
    </row>
    <row r="84" spans="1:4" ht="16.2" thickBot="1" x14ac:dyDescent="0.35">
      <c r="A84" s="12"/>
      <c r="B84" s="12"/>
      <c r="C84" s="12"/>
      <c r="D84" s="12"/>
    </row>
    <row r="85" spans="1:4" ht="16.2" thickBot="1" x14ac:dyDescent="0.35">
      <c r="A85" s="1" t="s">
        <v>2</v>
      </c>
      <c r="B85" s="2"/>
      <c r="C85" s="1" t="s">
        <v>3</v>
      </c>
      <c r="D85" s="2"/>
    </row>
    <row r="86" spans="1:4" ht="16.2" thickBot="1" x14ac:dyDescent="0.35">
      <c r="A86" s="3" t="s">
        <v>4</v>
      </c>
      <c r="B86" s="4">
        <v>410000</v>
      </c>
      <c r="C86" s="5" t="s">
        <v>5</v>
      </c>
      <c r="D86" s="6">
        <v>2000000</v>
      </c>
    </row>
    <row r="87" spans="1:4" ht="16.2" thickBot="1" x14ac:dyDescent="0.35">
      <c r="A87" s="7"/>
      <c r="B87" s="2"/>
      <c r="C87" s="7"/>
      <c r="D87" s="2"/>
    </row>
    <row r="88" spans="1:4" ht="16.2" thickBot="1" x14ac:dyDescent="0.35">
      <c r="A88" s="1" t="s">
        <v>6</v>
      </c>
      <c r="B88" s="2"/>
      <c r="C88" s="1" t="s">
        <v>7</v>
      </c>
      <c r="D88" s="2"/>
    </row>
    <row r="89" spans="1:4" ht="16.2" thickBot="1" x14ac:dyDescent="0.35">
      <c r="A89" s="5" t="s">
        <v>8</v>
      </c>
      <c r="B89" s="6">
        <v>1700000</v>
      </c>
      <c r="C89" s="5" t="s">
        <v>9</v>
      </c>
      <c r="D89" s="6">
        <v>3000000</v>
      </c>
    </row>
    <row r="90" spans="1:4" ht="16.2" thickBot="1" x14ac:dyDescent="0.35">
      <c r="A90" s="7"/>
      <c r="B90" s="2"/>
      <c r="C90" s="7"/>
      <c r="D90" s="2"/>
    </row>
    <row r="91" spans="1:4" ht="16.2" thickBot="1" x14ac:dyDescent="0.35">
      <c r="A91" s="1" t="s">
        <v>10</v>
      </c>
      <c r="B91" s="2"/>
      <c r="C91" s="1" t="s">
        <v>11</v>
      </c>
      <c r="D91" s="2"/>
    </row>
    <row r="92" spans="1:4" ht="16.2" thickBot="1" x14ac:dyDescent="0.35">
      <c r="A92" s="5" t="s">
        <v>12</v>
      </c>
      <c r="B92" s="6"/>
      <c r="C92" s="5" t="s">
        <v>14</v>
      </c>
      <c r="D92" s="6">
        <v>400000</v>
      </c>
    </row>
    <row r="93" spans="1:4" ht="16.2" thickBot="1" x14ac:dyDescent="0.35">
      <c r="A93" s="5" t="s">
        <v>13</v>
      </c>
      <c r="B93" s="6">
        <v>4100000</v>
      </c>
      <c r="C93" s="5" t="s">
        <v>15</v>
      </c>
      <c r="D93" s="6">
        <v>1100000</v>
      </c>
    </row>
    <row r="94" spans="1:4" ht="16.2" thickBot="1" x14ac:dyDescent="0.35">
      <c r="A94" s="3" t="s">
        <v>37</v>
      </c>
      <c r="B94" s="4">
        <v>30000</v>
      </c>
      <c r="C94" s="5"/>
      <c r="D94" s="6"/>
    </row>
    <row r="95" spans="1:4" ht="16.2" thickBot="1" x14ac:dyDescent="0.35">
      <c r="A95" s="7"/>
      <c r="B95" s="2"/>
      <c r="C95" s="1" t="s">
        <v>18</v>
      </c>
      <c r="D95" s="2"/>
    </row>
    <row r="96" spans="1:4" ht="16.2" thickBot="1" x14ac:dyDescent="0.35">
      <c r="A96" s="5" t="s">
        <v>16</v>
      </c>
      <c r="B96" s="6"/>
      <c r="C96" s="5" t="s">
        <v>19</v>
      </c>
      <c r="D96" s="6">
        <v>4500000</v>
      </c>
    </row>
    <row r="97" spans="1:4" ht="16.2" thickBot="1" x14ac:dyDescent="0.35">
      <c r="A97" s="5" t="s">
        <v>17</v>
      </c>
      <c r="B97" s="6">
        <v>100000</v>
      </c>
      <c r="C97" s="5" t="s">
        <v>21</v>
      </c>
      <c r="D97" s="6">
        <v>150000</v>
      </c>
    </row>
    <row r="98" spans="1:4" ht="16.2" thickBot="1" x14ac:dyDescent="0.35">
      <c r="A98" s="7"/>
      <c r="B98" s="2"/>
      <c r="C98" s="7"/>
      <c r="D98" s="2"/>
    </row>
    <row r="99" spans="1:4" ht="16.2" thickBot="1" x14ac:dyDescent="0.35">
      <c r="A99" s="1" t="s">
        <v>20</v>
      </c>
      <c r="B99" s="2"/>
      <c r="C99" s="7"/>
      <c r="D99" s="2"/>
    </row>
    <row r="100" spans="1:4" ht="16.2" thickBot="1" x14ac:dyDescent="0.35">
      <c r="A100" s="5" t="s">
        <v>22</v>
      </c>
      <c r="B100" s="6">
        <v>1200000</v>
      </c>
      <c r="C100" s="7"/>
      <c r="D100" s="2"/>
    </row>
    <row r="101" spans="1:4" ht="16.2" thickBot="1" x14ac:dyDescent="0.35">
      <c r="A101" s="5" t="s">
        <v>23</v>
      </c>
      <c r="B101" s="6">
        <v>2500000</v>
      </c>
      <c r="C101" s="7"/>
      <c r="D101" s="2"/>
    </row>
    <row r="102" spans="1:4" ht="16.2" thickBot="1" x14ac:dyDescent="0.35">
      <c r="A102" s="5" t="s">
        <v>24</v>
      </c>
      <c r="B102" s="6">
        <v>1100000</v>
      </c>
      <c r="C102" s="7"/>
      <c r="D102" s="2"/>
    </row>
    <row r="103" spans="1:4" ht="16.2" thickBot="1" x14ac:dyDescent="0.35">
      <c r="A103" s="5" t="s">
        <v>29</v>
      </c>
      <c r="B103" s="6">
        <v>10000</v>
      </c>
      <c r="C103" s="7"/>
      <c r="D103" s="2"/>
    </row>
    <row r="104" spans="1:4" ht="16.2" thickBot="1" x14ac:dyDescent="0.35">
      <c r="A104" s="7"/>
      <c r="B104" s="2"/>
      <c r="C104" s="7"/>
      <c r="D104" s="2"/>
    </row>
    <row r="105" spans="1:4" ht="16.2" thickBot="1" x14ac:dyDescent="0.35">
      <c r="A105" s="8" t="s">
        <v>25</v>
      </c>
      <c r="B105" s="9">
        <f>SUM(B85:B104)</f>
        <v>11150000</v>
      </c>
      <c r="C105" s="8" t="s">
        <v>26</v>
      </c>
      <c r="D105" s="9">
        <f>SUM(D85:D104)</f>
        <v>11150000</v>
      </c>
    </row>
    <row r="108" spans="1:4" ht="16.2" thickBot="1" x14ac:dyDescent="0.35">
      <c r="A108" s="10" t="s">
        <v>38</v>
      </c>
    </row>
    <row r="109" spans="1:4" ht="16.2" thickBot="1" x14ac:dyDescent="0.35">
      <c r="A109" s="12" t="s">
        <v>0</v>
      </c>
      <c r="B109" s="12"/>
      <c r="C109" s="12" t="s">
        <v>1</v>
      </c>
      <c r="D109" s="12"/>
    </row>
    <row r="110" spans="1:4" ht="16.2" thickBot="1" x14ac:dyDescent="0.35">
      <c r="A110" s="12"/>
      <c r="B110" s="12"/>
      <c r="C110" s="12"/>
      <c r="D110" s="12"/>
    </row>
    <row r="111" spans="1:4" ht="16.2" thickBot="1" x14ac:dyDescent="0.35">
      <c r="A111" s="1" t="s">
        <v>2</v>
      </c>
      <c r="B111" s="2"/>
      <c r="C111" s="1" t="s">
        <v>3</v>
      </c>
      <c r="D111" s="2"/>
    </row>
    <row r="112" spans="1:4" ht="16.2" thickBot="1" x14ac:dyDescent="0.35">
      <c r="A112" s="5" t="s">
        <v>4</v>
      </c>
      <c r="B112" s="6">
        <v>410000</v>
      </c>
      <c r="C112" s="5" t="s">
        <v>5</v>
      </c>
      <c r="D112" s="6">
        <v>2000000</v>
      </c>
    </row>
    <row r="113" spans="1:4" ht="16.2" thickBot="1" x14ac:dyDescent="0.35">
      <c r="A113" s="7"/>
      <c r="B113" s="2"/>
      <c r="C113" s="7"/>
      <c r="D113" s="2"/>
    </row>
    <row r="114" spans="1:4" ht="16.2" thickBot="1" x14ac:dyDescent="0.35">
      <c r="A114" s="1" t="s">
        <v>6</v>
      </c>
      <c r="B114" s="2"/>
      <c r="C114" s="1" t="s">
        <v>7</v>
      </c>
      <c r="D114" s="2"/>
    </row>
    <row r="115" spans="1:4" ht="16.2" thickBot="1" x14ac:dyDescent="0.35">
      <c r="A115" s="5" t="s">
        <v>8</v>
      </c>
      <c r="B115" s="6">
        <v>1700000</v>
      </c>
      <c r="C115" s="5" t="s">
        <v>9</v>
      </c>
      <c r="D115" s="6">
        <v>3000000</v>
      </c>
    </row>
    <row r="116" spans="1:4" ht="16.2" thickBot="1" x14ac:dyDescent="0.35">
      <c r="A116" s="7"/>
      <c r="B116" s="2"/>
      <c r="C116" s="7"/>
      <c r="D116" s="2"/>
    </row>
    <row r="117" spans="1:4" ht="16.2" thickBot="1" x14ac:dyDescent="0.35">
      <c r="A117" s="1" t="s">
        <v>10</v>
      </c>
      <c r="B117" s="2"/>
      <c r="C117" s="1" t="s">
        <v>11</v>
      </c>
      <c r="D117" s="2"/>
    </row>
    <row r="118" spans="1:4" ht="16.2" thickBot="1" x14ac:dyDescent="0.35">
      <c r="A118" s="5" t="s">
        <v>12</v>
      </c>
      <c r="B118" s="6"/>
      <c r="C118" s="5" t="s">
        <v>14</v>
      </c>
      <c r="D118" s="6">
        <v>400000</v>
      </c>
    </row>
    <row r="119" spans="1:4" ht="16.2" thickBot="1" x14ac:dyDescent="0.35">
      <c r="A119" s="5" t="s">
        <v>13</v>
      </c>
      <c r="B119" s="6">
        <v>4100000</v>
      </c>
      <c r="C119" s="5" t="s">
        <v>15</v>
      </c>
      <c r="D119" s="6">
        <v>1100000</v>
      </c>
    </row>
    <row r="120" spans="1:4" ht="16.2" thickBot="1" x14ac:dyDescent="0.35">
      <c r="A120" s="3" t="s">
        <v>40</v>
      </c>
      <c r="B120" s="4">
        <v>100000</v>
      </c>
      <c r="C120" s="3" t="s">
        <v>39</v>
      </c>
      <c r="D120" s="4">
        <v>70000</v>
      </c>
    </row>
    <row r="121" spans="1:4" ht="16.2" thickBot="1" x14ac:dyDescent="0.35">
      <c r="A121" s="7"/>
      <c r="B121" s="2"/>
      <c r="C121" s="5"/>
      <c r="D121" s="6"/>
    </row>
    <row r="122" spans="1:4" ht="16.2" thickBot="1" x14ac:dyDescent="0.35">
      <c r="A122" s="5" t="s">
        <v>16</v>
      </c>
      <c r="B122" s="6"/>
      <c r="C122" s="1" t="s">
        <v>18</v>
      </c>
      <c r="D122" s="2"/>
    </row>
    <row r="123" spans="1:4" ht="16.2" thickBot="1" x14ac:dyDescent="0.35">
      <c r="A123" s="5" t="s">
        <v>17</v>
      </c>
      <c r="B123" s="6">
        <v>100000</v>
      </c>
      <c r="C123" s="5" t="s">
        <v>19</v>
      </c>
      <c r="D123" s="6">
        <v>4500000</v>
      </c>
    </row>
    <row r="124" spans="1:4" ht="16.2" thickBot="1" x14ac:dyDescent="0.35">
      <c r="A124" s="7"/>
      <c r="B124" s="2"/>
      <c r="C124" s="5" t="s">
        <v>21</v>
      </c>
      <c r="D124" s="6">
        <v>150000</v>
      </c>
    </row>
    <row r="125" spans="1:4" ht="16.2" thickBot="1" x14ac:dyDescent="0.35">
      <c r="A125" s="1" t="s">
        <v>20</v>
      </c>
      <c r="B125" s="2"/>
      <c r="C125" s="7"/>
      <c r="D125" s="2"/>
    </row>
    <row r="126" spans="1:4" ht="16.2" thickBot="1" x14ac:dyDescent="0.35">
      <c r="A126" s="5" t="s">
        <v>22</v>
      </c>
      <c r="B126" s="6">
        <v>1200000</v>
      </c>
      <c r="C126" s="7"/>
      <c r="D126" s="2"/>
    </row>
    <row r="127" spans="1:4" ht="16.2" thickBot="1" x14ac:dyDescent="0.35">
      <c r="A127" s="5" t="s">
        <v>23</v>
      </c>
      <c r="B127" s="6">
        <v>2500000</v>
      </c>
      <c r="C127" s="7"/>
      <c r="D127" s="2"/>
    </row>
    <row r="128" spans="1:4" ht="16.2" thickBot="1" x14ac:dyDescent="0.35">
      <c r="A128" s="5" t="s">
        <v>24</v>
      </c>
      <c r="B128" s="6">
        <v>1100000</v>
      </c>
      <c r="C128" s="7"/>
      <c r="D128" s="2"/>
    </row>
    <row r="129" spans="1:4" ht="16.2" thickBot="1" x14ac:dyDescent="0.35">
      <c r="A129" s="5" t="s">
        <v>29</v>
      </c>
      <c r="B129" s="6">
        <v>10000</v>
      </c>
      <c r="C129" s="7"/>
      <c r="D129" s="2"/>
    </row>
    <row r="130" spans="1:4" ht="16.2" thickBot="1" x14ac:dyDescent="0.35">
      <c r="A130" s="7"/>
      <c r="B130" s="2"/>
      <c r="C130" s="7"/>
      <c r="D130" s="2"/>
    </row>
    <row r="131" spans="1:4" ht="16.2" thickBot="1" x14ac:dyDescent="0.35">
      <c r="A131" s="8" t="s">
        <v>25</v>
      </c>
      <c r="B131" s="9">
        <f>SUM(B111:B130)</f>
        <v>11220000</v>
      </c>
      <c r="C131" s="8" t="s">
        <v>26</v>
      </c>
      <c r="D131" s="9">
        <f>SUM(D111:D130)</f>
        <v>11220000</v>
      </c>
    </row>
    <row r="134" spans="1:4" ht="16.2" thickBot="1" x14ac:dyDescent="0.35">
      <c r="A134" s="10" t="s">
        <v>41</v>
      </c>
    </row>
    <row r="135" spans="1:4" ht="16.2" thickBot="1" x14ac:dyDescent="0.35">
      <c r="A135" s="12" t="s">
        <v>0</v>
      </c>
      <c r="B135" s="12"/>
      <c r="C135" s="12" t="s">
        <v>1</v>
      </c>
      <c r="D135" s="12"/>
    </row>
    <row r="136" spans="1:4" ht="16.2" thickBot="1" x14ac:dyDescent="0.35">
      <c r="A136" s="12"/>
      <c r="B136" s="12"/>
      <c r="C136" s="12"/>
      <c r="D136" s="12"/>
    </row>
    <row r="137" spans="1:4" ht="16.2" thickBot="1" x14ac:dyDescent="0.35">
      <c r="A137" s="1" t="s">
        <v>2</v>
      </c>
      <c r="B137" s="2"/>
      <c r="C137" s="1" t="s">
        <v>3</v>
      </c>
      <c r="D137" s="2"/>
    </row>
    <row r="138" spans="1:4" ht="16.2" thickBot="1" x14ac:dyDescent="0.35">
      <c r="A138" s="3" t="s">
        <v>4</v>
      </c>
      <c r="B138" s="4">
        <v>1160000</v>
      </c>
      <c r="C138" s="3" t="s">
        <v>5</v>
      </c>
      <c r="D138" s="4">
        <v>2500000</v>
      </c>
    </row>
    <row r="139" spans="1:4" ht="16.2" thickBot="1" x14ac:dyDescent="0.35">
      <c r="A139" s="7"/>
      <c r="B139" s="2"/>
      <c r="C139" s="3" t="s">
        <v>42</v>
      </c>
      <c r="D139" s="4">
        <v>250000</v>
      </c>
    </row>
    <row r="140" spans="1:4" ht="16.2" thickBot="1" x14ac:dyDescent="0.35">
      <c r="A140" s="1" t="s">
        <v>6</v>
      </c>
      <c r="B140" s="2"/>
      <c r="C140" s="7"/>
      <c r="D140" s="2"/>
    </row>
    <row r="141" spans="1:4" ht="16.2" thickBot="1" x14ac:dyDescent="0.35">
      <c r="A141" s="5" t="s">
        <v>8</v>
      </c>
      <c r="B141" s="6">
        <v>1700000</v>
      </c>
      <c r="C141" s="1" t="s">
        <v>7</v>
      </c>
      <c r="D141" s="2"/>
    </row>
    <row r="142" spans="1:4" ht="16.2" thickBot="1" x14ac:dyDescent="0.35">
      <c r="A142" s="7"/>
      <c r="B142" s="2"/>
      <c r="C142" s="5" t="s">
        <v>9</v>
      </c>
      <c r="D142" s="6">
        <v>3000000</v>
      </c>
    </row>
    <row r="143" spans="1:4" ht="16.2" thickBot="1" x14ac:dyDescent="0.35">
      <c r="A143" s="1" t="s">
        <v>10</v>
      </c>
      <c r="B143" s="2"/>
      <c r="C143" s="7"/>
      <c r="D143" s="2"/>
    </row>
    <row r="144" spans="1:4" ht="16.2" thickBot="1" x14ac:dyDescent="0.35">
      <c r="A144" s="5" t="s">
        <v>12</v>
      </c>
      <c r="B144" s="6"/>
      <c r="C144" s="1" t="s">
        <v>11</v>
      </c>
      <c r="D144" s="2"/>
    </row>
    <row r="145" spans="1:4" ht="16.2" thickBot="1" x14ac:dyDescent="0.35">
      <c r="A145" s="5" t="s">
        <v>13</v>
      </c>
      <c r="B145" s="6">
        <v>4100000</v>
      </c>
      <c r="C145" s="5" t="s">
        <v>14</v>
      </c>
      <c r="D145" s="6">
        <v>400000</v>
      </c>
    </row>
    <row r="146" spans="1:4" ht="16.2" thickBot="1" x14ac:dyDescent="0.35">
      <c r="A146" s="5" t="s">
        <v>40</v>
      </c>
      <c r="B146" s="6">
        <v>100000</v>
      </c>
      <c r="C146" s="5" t="s">
        <v>15</v>
      </c>
      <c r="D146" s="6">
        <v>1100000</v>
      </c>
    </row>
    <row r="147" spans="1:4" ht="16.2" thickBot="1" x14ac:dyDescent="0.35">
      <c r="A147" s="7"/>
      <c r="B147" s="2"/>
      <c r="C147" s="5" t="s">
        <v>39</v>
      </c>
      <c r="D147" s="6">
        <v>70000</v>
      </c>
    </row>
    <row r="148" spans="1:4" ht="16.2" thickBot="1" x14ac:dyDescent="0.35">
      <c r="A148" s="5" t="s">
        <v>16</v>
      </c>
      <c r="B148" s="6"/>
      <c r="C148" s="5"/>
      <c r="D148" s="6"/>
    </row>
    <row r="149" spans="1:4" ht="16.2" thickBot="1" x14ac:dyDescent="0.35">
      <c r="A149" s="5" t="s">
        <v>17</v>
      </c>
      <c r="B149" s="6">
        <v>100000</v>
      </c>
      <c r="C149" s="1" t="s">
        <v>18</v>
      </c>
      <c r="D149" s="2"/>
    </row>
    <row r="150" spans="1:4" ht="16.2" thickBot="1" x14ac:dyDescent="0.35">
      <c r="A150" s="7"/>
      <c r="B150" s="2"/>
      <c r="C150" s="5" t="s">
        <v>19</v>
      </c>
      <c r="D150" s="6">
        <v>4500000</v>
      </c>
    </row>
    <row r="151" spans="1:4" ht="16.2" thickBot="1" x14ac:dyDescent="0.35">
      <c r="A151" s="1" t="s">
        <v>20</v>
      </c>
      <c r="B151" s="2"/>
      <c r="C151" s="5" t="s">
        <v>21</v>
      </c>
      <c r="D151" s="6">
        <v>150000</v>
      </c>
    </row>
    <row r="152" spans="1:4" ht="16.2" thickBot="1" x14ac:dyDescent="0.35">
      <c r="A152" s="5" t="s">
        <v>22</v>
      </c>
      <c r="B152" s="6">
        <v>1200000</v>
      </c>
      <c r="C152" s="7"/>
      <c r="D152" s="2"/>
    </row>
    <row r="153" spans="1:4" ht="16.2" thickBot="1" x14ac:dyDescent="0.35">
      <c r="A153" s="5" t="s">
        <v>23</v>
      </c>
      <c r="B153" s="6">
        <v>2500000</v>
      </c>
      <c r="C153" s="7"/>
      <c r="D153" s="2"/>
    </row>
    <row r="154" spans="1:4" ht="16.2" thickBot="1" x14ac:dyDescent="0.35">
      <c r="A154" s="5" t="s">
        <v>24</v>
      </c>
      <c r="B154" s="6">
        <v>1100000</v>
      </c>
      <c r="C154" s="7"/>
      <c r="D154" s="2"/>
    </row>
    <row r="155" spans="1:4" ht="16.2" thickBot="1" x14ac:dyDescent="0.35">
      <c r="A155" s="5" t="s">
        <v>29</v>
      </c>
      <c r="B155" s="6">
        <v>10000</v>
      </c>
      <c r="C155" s="7"/>
      <c r="D155" s="2"/>
    </row>
    <row r="156" spans="1:4" ht="16.2" thickBot="1" x14ac:dyDescent="0.35">
      <c r="A156" s="7"/>
      <c r="B156" s="2"/>
      <c r="C156" s="7"/>
      <c r="D156" s="2"/>
    </row>
    <row r="157" spans="1:4" ht="16.2" thickBot="1" x14ac:dyDescent="0.35">
      <c r="A157" s="8" t="s">
        <v>25</v>
      </c>
      <c r="B157" s="9">
        <f>SUM(B137:B156)</f>
        <v>11970000</v>
      </c>
      <c r="C157" s="8" t="s">
        <v>26</v>
      </c>
      <c r="D157" s="9">
        <f>SUM(D137:D156)</f>
        <v>11970000</v>
      </c>
    </row>
    <row r="158" spans="1:4" x14ac:dyDescent="0.3">
      <c r="A158" s="10" t="s">
        <v>43</v>
      </c>
    </row>
    <row r="161" spans="1:4" ht="16.2" thickBot="1" x14ac:dyDescent="0.35">
      <c r="A161" s="10" t="s">
        <v>46</v>
      </c>
    </row>
    <row r="162" spans="1:4" ht="16.2" thickBot="1" x14ac:dyDescent="0.35">
      <c r="A162" s="12" t="s">
        <v>0</v>
      </c>
      <c r="B162" s="12"/>
      <c r="C162" s="12" t="s">
        <v>1</v>
      </c>
      <c r="D162" s="12"/>
    </row>
    <row r="163" spans="1:4" ht="16.2" thickBot="1" x14ac:dyDescent="0.35">
      <c r="A163" s="12"/>
      <c r="B163" s="12"/>
      <c r="C163" s="12"/>
      <c r="D163" s="12"/>
    </row>
    <row r="164" spans="1:4" ht="16.2" thickBot="1" x14ac:dyDescent="0.35">
      <c r="A164" s="1" t="s">
        <v>2</v>
      </c>
      <c r="B164" s="2"/>
      <c r="C164" s="1" t="s">
        <v>3</v>
      </c>
      <c r="D164" s="2"/>
    </row>
    <row r="165" spans="1:4" ht="16.2" thickBot="1" x14ac:dyDescent="0.35">
      <c r="A165" s="3" t="s">
        <v>4</v>
      </c>
      <c r="B165" s="4">
        <v>1310000</v>
      </c>
      <c r="C165" s="5" t="s">
        <v>5</v>
      </c>
      <c r="D165" s="6">
        <v>2500000</v>
      </c>
    </row>
    <row r="166" spans="1:4" ht="16.2" thickBot="1" x14ac:dyDescent="0.35">
      <c r="A166" s="7"/>
      <c r="B166" s="2"/>
      <c r="C166" s="5" t="s">
        <v>42</v>
      </c>
      <c r="D166" s="6">
        <v>250000</v>
      </c>
    </row>
    <row r="167" spans="1:4" ht="16.2" thickBot="1" x14ac:dyDescent="0.35">
      <c r="A167" s="1" t="s">
        <v>6</v>
      </c>
      <c r="B167" s="2"/>
      <c r="C167" s="7"/>
      <c r="D167" s="2"/>
    </row>
    <row r="168" spans="1:4" ht="16.2" thickBot="1" x14ac:dyDescent="0.35">
      <c r="A168" s="5" t="s">
        <v>8</v>
      </c>
      <c r="B168" s="6">
        <v>1700000</v>
      </c>
      <c r="C168" s="1" t="s">
        <v>7</v>
      </c>
      <c r="D168" s="2"/>
    </row>
    <row r="169" spans="1:4" ht="16.2" thickBot="1" x14ac:dyDescent="0.35">
      <c r="A169" s="7"/>
      <c r="B169" s="2"/>
      <c r="C169" s="5" t="s">
        <v>9</v>
      </c>
      <c r="D169" s="6">
        <v>3000000</v>
      </c>
    </row>
    <row r="170" spans="1:4" ht="16.2" thickBot="1" x14ac:dyDescent="0.35">
      <c r="A170" s="1" t="s">
        <v>10</v>
      </c>
      <c r="B170" s="2"/>
      <c r="C170" s="3" t="s">
        <v>44</v>
      </c>
      <c r="D170" s="4">
        <v>150000</v>
      </c>
    </row>
    <row r="171" spans="1:4" ht="16.2" thickBot="1" x14ac:dyDescent="0.35">
      <c r="A171" s="5" t="s">
        <v>12</v>
      </c>
      <c r="B171" s="6"/>
      <c r="C171" s="7"/>
      <c r="D171" s="2"/>
    </row>
    <row r="172" spans="1:4" ht="16.2" thickBot="1" x14ac:dyDescent="0.35">
      <c r="A172" s="5" t="s">
        <v>13</v>
      </c>
      <c r="B172" s="6">
        <v>4100000</v>
      </c>
      <c r="C172" s="1" t="s">
        <v>11</v>
      </c>
      <c r="D172" s="2"/>
    </row>
    <row r="173" spans="1:4" ht="16.2" thickBot="1" x14ac:dyDescent="0.35">
      <c r="A173" s="5" t="s">
        <v>40</v>
      </c>
      <c r="B173" s="6">
        <v>100000</v>
      </c>
      <c r="C173" s="5" t="s">
        <v>14</v>
      </c>
      <c r="D173" s="6">
        <v>400000</v>
      </c>
    </row>
    <row r="174" spans="1:4" ht="16.2" thickBot="1" x14ac:dyDescent="0.35">
      <c r="A174" s="7"/>
      <c r="B174" s="2"/>
      <c r="C174" s="5" t="s">
        <v>15</v>
      </c>
      <c r="D174" s="6">
        <v>1100000</v>
      </c>
    </row>
    <row r="175" spans="1:4" ht="16.2" thickBot="1" x14ac:dyDescent="0.35">
      <c r="A175" s="5" t="s">
        <v>16</v>
      </c>
      <c r="B175" s="6"/>
      <c r="C175" s="5" t="s">
        <v>39</v>
      </c>
      <c r="D175" s="6">
        <v>70000</v>
      </c>
    </row>
    <row r="176" spans="1:4" ht="16.2" thickBot="1" x14ac:dyDescent="0.35">
      <c r="A176" s="5" t="s">
        <v>17</v>
      </c>
      <c r="B176" s="6">
        <v>100000</v>
      </c>
      <c r="C176" s="5"/>
      <c r="D176" s="6"/>
    </row>
    <row r="177" spans="1:4" ht="16.2" thickBot="1" x14ac:dyDescent="0.35">
      <c r="A177" s="7"/>
      <c r="B177" s="2"/>
      <c r="C177" s="1" t="s">
        <v>18</v>
      </c>
      <c r="D177" s="2"/>
    </row>
    <row r="178" spans="1:4" ht="16.2" thickBot="1" x14ac:dyDescent="0.35">
      <c r="A178" s="1" t="s">
        <v>20</v>
      </c>
      <c r="B178" s="2"/>
      <c r="C178" s="5" t="s">
        <v>19</v>
      </c>
      <c r="D178" s="6">
        <v>4500000</v>
      </c>
    </row>
    <row r="179" spans="1:4" ht="16.2" thickBot="1" x14ac:dyDescent="0.35">
      <c r="A179" s="5" t="s">
        <v>22</v>
      </c>
      <c r="B179" s="6">
        <v>1200000</v>
      </c>
      <c r="C179" s="5" t="s">
        <v>21</v>
      </c>
      <c r="D179" s="6">
        <v>150000</v>
      </c>
    </row>
    <row r="180" spans="1:4" ht="16.2" thickBot="1" x14ac:dyDescent="0.35">
      <c r="A180" s="5" t="s">
        <v>23</v>
      </c>
      <c r="B180" s="6">
        <v>2500000</v>
      </c>
      <c r="C180" s="7"/>
      <c r="D180" s="2"/>
    </row>
    <row r="181" spans="1:4" ht="16.2" thickBot="1" x14ac:dyDescent="0.35">
      <c r="A181" s="5" t="s">
        <v>24</v>
      </c>
      <c r="B181" s="6">
        <v>1100000</v>
      </c>
      <c r="C181" s="7"/>
      <c r="D181" s="2"/>
    </row>
    <row r="182" spans="1:4" ht="16.2" thickBot="1" x14ac:dyDescent="0.35">
      <c r="A182" s="5" t="s">
        <v>29</v>
      </c>
      <c r="B182" s="6">
        <v>10000</v>
      </c>
      <c r="C182" s="7"/>
      <c r="D182" s="2"/>
    </row>
    <row r="183" spans="1:4" ht="16.2" thickBot="1" x14ac:dyDescent="0.35">
      <c r="A183" s="7"/>
      <c r="B183" s="2"/>
      <c r="C183" s="7"/>
      <c r="D183" s="2"/>
    </row>
    <row r="184" spans="1:4" ht="16.2" thickBot="1" x14ac:dyDescent="0.35">
      <c r="A184" s="8" t="s">
        <v>25</v>
      </c>
      <c r="B184" s="9">
        <f>SUM(B164:B183)</f>
        <v>12120000</v>
      </c>
      <c r="C184" s="8" t="s">
        <v>26</v>
      </c>
      <c r="D184" s="9">
        <f>SUM(D164:D183)</f>
        <v>12120000</v>
      </c>
    </row>
    <row r="188" spans="1:4" ht="16.2" thickBot="1" x14ac:dyDescent="0.35">
      <c r="A188" s="10" t="s">
        <v>47</v>
      </c>
    </row>
    <row r="189" spans="1:4" ht="16.2" thickBot="1" x14ac:dyDescent="0.35">
      <c r="A189" s="12" t="s">
        <v>0</v>
      </c>
      <c r="B189" s="12"/>
      <c r="C189" s="12" t="s">
        <v>1</v>
      </c>
      <c r="D189" s="12"/>
    </row>
    <row r="190" spans="1:4" ht="16.2" thickBot="1" x14ac:dyDescent="0.35">
      <c r="A190" s="12"/>
      <c r="B190" s="12"/>
      <c r="C190" s="12"/>
      <c r="D190" s="12"/>
    </row>
    <row r="191" spans="1:4" ht="16.2" thickBot="1" x14ac:dyDescent="0.35">
      <c r="A191" s="1" t="s">
        <v>2</v>
      </c>
      <c r="B191" s="2"/>
      <c r="C191" s="1" t="s">
        <v>3</v>
      </c>
      <c r="D191" s="2"/>
    </row>
    <row r="192" spans="1:4" ht="16.2" thickBot="1" x14ac:dyDescent="0.35">
      <c r="A192" s="5" t="s">
        <v>4</v>
      </c>
      <c r="B192" s="6">
        <v>1310000</v>
      </c>
      <c r="C192" s="3" t="s">
        <v>5</v>
      </c>
      <c r="D192" s="4">
        <v>2620000</v>
      </c>
    </row>
    <row r="193" spans="1:4" ht="16.2" thickBot="1" x14ac:dyDescent="0.35">
      <c r="A193" s="7"/>
      <c r="B193" s="2"/>
      <c r="C193" s="5" t="s">
        <v>42</v>
      </c>
      <c r="D193" s="6">
        <v>250000</v>
      </c>
    </row>
    <row r="194" spans="1:4" ht="16.2" thickBot="1" x14ac:dyDescent="0.35">
      <c r="A194" s="1" t="s">
        <v>6</v>
      </c>
      <c r="B194" s="2"/>
      <c r="C194" s="7"/>
      <c r="D194" s="2"/>
    </row>
    <row r="195" spans="1:4" ht="16.2" thickBot="1" x14ac:dyDescent="0.35">
      <c r="A195" s="5" t="s">
        <v>8</v>
      </c>
      <c r="B195" s="6">
        <v>1700000</v>
      </c>
      <c r="C195" s="1" t="s">
        <v>7</v>
      </c>
      <c r="D195" s="2"/>
    </row>
    <row r="196" spans="1:4" ht="16.2" thickBot="1" x14ac:dyDescent="0.35">
      <c r="A196" s="7"/>
      <c r="B196" s="2"/>
      <c r="C196" s="5" t="s">
        <v>9</v>
      </c>
      <c r="D196" s="6">
        <v>3000000</v>
      </c>
    </row>
    <row r="197" spans="1:4" ht="16.2" thickBot="1" x14ac:dyDescent="0.35">
      <c r="A197" s="1" t="s">
        <v>10</v>
      </c>
      <c r="B197" s="2"/>
      <c r="C197" s="3" t="s">
        <v>45</v>
      </c>
      <c r="D197" s="4">
        <v>30000</v>
      </c>
    </row>
    <row r="198" spans="1:4" ht="16.2" thickBot="1" x14ac:dyDescent="0.35">
      <c r="A198" s="5" t="s">
        <v>12</v>
      </c>
      <c r="B198" s="6"/>
      <c r="C198" s="7"/>
      <c r="D198" s="2"/>
    </row>
    <row r="199" spans="1:4" ht="16.2" thickBot="1" x14ac:dyDescent="0.35">
      <c r="A199" s="5" t="s">
        <v>13</v>
      </c>
      <c r="B199" s="6">
        <v>4100000</v>
      </c>
      <c r="C199" s="1" t="s">
        <v>11</v>
      </c>
      <c r="D199" s="2"/>
    </row>
    <row r="200" spans="1:4" ht="16.2" thickBot="1" x14ac:dyDescent="0.35">
      <c r="A200" s="5" t="s">
        <v>40</v>
      </c>
      <c r="B200" s="6">
        <v>100000</v>
      </c>
      <c r="C200" s="5" t="s">
        <v>14</v>
      </c>
      <c r="D200" s="6">
        <v>400000</v>
      </c>
    </row>
    <row r="201" spans="1:4" ht="16.2" thickBot="1" x14ac:dyDescent="0.35">
      <c r="A201" s="7"/>
      <c r="B201" s="2"/>
      <c r="C201" s="5" t="s">
        <v>15</v>
      </c>
      <c r="D201" s="6">
        <v>1100000</v>
      </c>
    </row>
    <row r="202" spans="1:4" ht="16.2" thickBot="1" x14ac:dyDescent="0.35">
      <c r="A202" s="5" t="s">
        <v>16</v>
      </c>
      <c r="B202" s="6"/>
      <c r="C202" s="5" t="s">
        <v>39</v>
      </c>
      <c r="D202" s="6">
        <v>70000</v>
      </c>
    </row>
    <row r="203" spans="1:4" ht="16.2" thickBot="1" x14ac:dyDescent="0.35">
      <c r="A203" s="5" t="s">
        <v>17</v>
      </c>
      <c r="B203" s="6">
        <v>100000</v>
      </c>
      <c r="C203" s="5"/>
      <c r="D203" s="6"/>
    </row>
    <row r="204" spans="1:4" ht="16.2" thickBot="1" x14ac:dyDescent="0.35">
      <c r="A204" s="7"/>
      <c r="B204" s="2"/>
      <c r="C204" s="1" t="s">
        <v>18</v>
      </c>
      <c r="D204" s="2"/>
    </row>
    <row r="205" spans="1:4" ht="16.2" thickBot="1" x14ac:dyDescent="0.35">
      <c r="A205" s="1" t="s">
        <v>20</v>
      </c>
      <c r="B205" s="2"/>
      <c r="C205" s="5" t="s">
        <v>19</v>
      </c>
      <c r="D205" s="6">
        <v>4500000</v>
      </c>
    </row>
    <row r="206" spans="1:4" ht="16.2" thickBot="1" x14ac:dyDescent="0.35">
      <c r="A206" s="5" t="s">
        <v>22</v>
      </c>
      <c r="B206" s="6">
        <v>1200000</v>
      </c>
      <c r="C206" s="5" t="s">
        <v>21</v>
      </c>
      <c r="D206" s="6">
        <v>150000</v>
      </c>
    </row>
    <row r="207" spans="1:4" ht="16.2" thickBot="1" x14ac:dyDescent="0.35">
      <c r="A207" s="5" t="s">
        <v>23</v>
      </c>
      <c r="B207" s="6">
        <v>2500000</v>
      </c>
      <c r="C207" s="7"/>
      <c r="D207" s="2"/>
    </row>
    <row r="208" spans="1:4" ht="16.2" thickBot="1" x14ac:dyDescent="0.35">
      <c r="A208" s="5" t="s">
        <v>24</v>
      </c>
      <c r="B208" s="6">
        <v>1100000</v>
      </c>
      <c r="C208" s="7"/>
      <c r="D208" s="2"/>
    </row>
    <row r="209" spans="1:4" ht="16.2" thickBot="1" x14ac:dyDescent="0.35">
      <c r="A209" s="5" t="s">
        <v>29</v>
      </c>
      <c r="B209" s="6">
        <v>10000</v>
      </c>
      <c r="C209" s="7"/>
      <c r="D209" s="2"/>
    </row>
    <row r="210" spans="1:4" ht="16.2" thickBot="1" x14ac:dyDescent="0.35">
      <c r="A210" s="7"/>
      <c r="B210" s="2"/>
      <c r="C210" s="7"/>
      <c r="D210" s="2"/>
    </row>
    <row r="211" spans="1:4" ht="16.2" thickBot="1" x14ac:dyDescent="0.35">
      <c r="A211" s="8" t="s">
        <v>25</v>
      </c>
      <c r="B211" s="9">
        <f>SUM(B191:B210)</f>
        <v>12120000</v>
      </c>
      <c r="C211" s="8" t="s">
        <v>26</v>
      </c>
      <c r="D211" s="9">
        <f>SUM(D191:D210)</f>
        <v>12120000</v>
      </c>
    </row>
  </sheetData>
  <mergeCells count="16">
    <mergeCell ref="A3:B4"/>
    <mergeCell ref="C3:D4"/>
    <mergeCell ref="A29:B30"/>
    <mergeCell ref="C29:D30"/>
    <mergeCell ref="A55:B56"/>
    <mergeCell ref="C55:D56"/>
    <mergeCell ref="A162:B163"/>
    <mergeCell ref="C162:D163"/>
    <mergeCell ref="A189:B190"/>
    <mergeCell ref="C189:D190"/>
    <mergeCell ref="A83:B84"/>
    <mergeCell ref="C83:D84"/>
    <mergeCell ref="A109:B110"/>
    <mergeCell ref="C109:D110"/>
    <mergeCell ref="A135:B136"/>
    <mergeCell ref="C135:D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Giammaria</dc:creator>
  <cp:lastModifiedBy>Francesco Giammaria</cp:lastModifiedBy>
  <dcterms:created xsi:type="dcterms:W3CDTF">2026-03-31T15:47:56Z</dcterms:created>
  <dcterms:modified xsi:type="dcterms:W3CDTF">2026-04-01T12:35:11Z</dcterms:modified>
</cp:coreProperties>
</file>